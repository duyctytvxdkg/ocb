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1TECH\ITPROJECT\2016\MSBFC\URD\QT&amp;SP_MsVui\"/>
    </mc:Choice>
  </mc:AlternateContent>
  <bookViews>
    <workbookView xWindow="480" yWindow="300" windowWidth="19320" windowHeight="7830" tabRatio="971" activeTab="4"/>
  </bookViews>
  <sheets>
    <sheet name="PT1- EMI" sheetId="32" r:id="rId1"/>
    <sheet name="PT2- Goc deu-Lai giam dan" sheetId="35" r:id="rId2"/>
    <sheet name="PT3 -Goc deu-Lai tren goc" sheetId="31" state="hidden" r:id="rId3"/>
    <sheet name="PT4-EMI- lai thuc te" sheetId="43" state="hidden" r:id="rId4"/>
    <sheet name="Lai thay doi - PT1" sheetId="26" r:id="rId5"/>
    <sheet name="Lai thay doi - PT2" sheetId="40" r:id="rId6"/>
    <sheet name="Lai thay doi - PT3" sheetId="37" state="hidden" r:id="rId7"/>
  </sheets>
  <calcPr calcId="152511"/>
</workbook>
</file>

<file path=xl/calcChain.xml><?xml version="1.0" encoding="utf-8"?>
<calcChain xmlns="http://schemas.openxmlformats.org/spreadsheetml/2006/main">
  <c r="C9" i="26" l="1"/>
  <c r="E12" i="32"/>
  <c r="D12" i="32"/>
  <c r="D11" i="32"/>
  <c r="C11" i="40"/>
  <c r="C7" i="35"/>
  <c r="E11" i="37" l="1"/>
  <c r="B7" i="37"/>
  <c r="B11" i="37" s="1"/>
  <c r="C11" i="37"/>
  <c r="D11" i="37"/>
  <c r="A12" i="37"/>
  <c r="E12" i="37" s="1"/>
  <c r="C11" i="35"/>
  <c r="B11" i="31"/>
  <c r="B11" i="43"/>
  <c r="B11" i="32"/>
  <c r="B12" i="26"/>
  <c r="C9" i="43"/>
  <c r="D9" i="43" s="1"/>
  <c r="A12" i="43"/>
  <c r="A13" i="43" s="1"/>
  <c r="E11" i="43"/>
  <c r="D11" i="43"/>
  <c r="C7" i="31"/>
  <c r="C7" i="32"/>
  <c r="A12" i="32"/>
  <c r="E11" i="32"/>
  <c r="C12" i="32"/>
  <c r="C11" i="32"/>
  <c r="C9" i="32"/>
  <c r="B12" i="32" l="1"/>
  <c r="B12" i="43"/>
  <c r="C12" i="43" s="1"/>
  <c r="D12" i="43"/>
  <c r="D12" i="37"/>
  <c r="B12" i="37"/>
  <c r="F11" i="37"/>
  <c r="A13" i="37"/>
  <c r="E13" i="37" s="1"/>
  <c r="C12" i="37"/>
  <c r="C11" i="31"/>
  <c r="A14" i="43"/>
  <c r="E13" i="43"/>
  <c r="C11" i="43"/>
  <c r="F11" i="43" s="1"/>
  <c r="E12" i="43"/>
  <c r="A13" i="32"/>
  <c r="D13" i="32" s="1"/>
  <c r="C13" i="32"/>
  <c r="F11" i="32"/>
  <c r="A14" i="32" l="1"/>
  <c r="E13" i="32"/>
  <c r="F13" i="32" s="1"/>
  <c r="B13" i="32"/>
  <c r="B14" i="32" s="1"/>
  <c r="C14" i="32"/>
  <c r="D13" i="43"/>
  <c r="F12" i="43"/>
  <c r="G12" i="43" s="1"/>
  <c r="J11" i="43"/>
  <c r="G11" i="43"/>
  <c r="B13" i="43"/>
  <c r="C13" i="43" s="1"/>
  <c r="F12" i="37"/>
  <c r="D13" i="37"/>
  <c r="C13" i="37"/>
  <c r="A14" i="37"/>
  <c r="E14" i="37" s="1"/>
  <c r="B13" i="37"/>
  <c r="F13" i="37"/>
  <c r="D14" i="43"/>
  <c r="A15" i="43"/>
  <c r="E14" i="43"/>
  <c r="A15" i="32"/>
  <c r="D14" i="32"/>
  <c r="E14" i="32"/>
  <c r="F12" i="32"/>
  <c r="F13" i="43" l="1"/>
  <c r="G13" i="43" s="1"/>
  <c r="J12" i="43"/>
  <c r="B14" i="43"/>
  <c r="C14" i="43" s="1"/>
  <c r="F14" i="43" s="1"/>
  <c r="B14" i="37"/>
  <c r="D14" i="37"/>
  <c r="C14" i="37"/>
  <c r="A15" i="37"/>
  <c r="E15" i="37" s="1"/>
  <c r="A16" i="43"/>
  <c r="E15" i="43"/>
  <c r="D15" i="43"/>
  <c r="F14" i="32"/>
  <c r="C15" i="32"/>
  <c r="E15" i="32"/>
  <c r="B15" i="32"/>
  <c r="A16" i="32"/>
  <c r="D15" i="32"/>
  <c r="J13" i="43" l="1"/>
  <c r="G14" i="43"/>
  <c r="J14" i="43"/>
  <c r="B15" i="43"/>
  <c r="C15" i="43" s="1"/>
  <c r="F15" i="43" s="1"/>
  <c r="F14" i="37"/>
  <c r="D15" i="37"/>
  <c r="C15" i="37"/>
  <c r="A16" i="37"/>
  <c r="E16" i="37" s="1"/>
  <c r="B15" i="37"/>
  <c r="A17" i="43"/>
  <c r="E16" i="43"/>
  <c r="D16" i="43"/>
  <c r="F15" i="32"/>
  <c r="A17" i="32"/>
  <c r="D16" i="32"/>
  <c r="E16" i="32"/>
  <c r="F16" i="32" s="1"/>
  <c r="B16" i="32"/>
  <c r="C16" i="32"/>
  <c r="C17" i="32" l="1"/>
  <c r="J15" i="43"/>
  <c r="G15" i="43"/>
  <c r="B16" i="43"/>
  <c r="C16" i="43" s="1"/>
  <c r="F16" i="43" s="1"/>
  <c r="F15" i="37"/>
  <c r="B16" i="37"/>
  <c r="D16" i="37"/>
  <c r="C16" i="37"/>
  <c r="A17" i="37"/>
  <c r="E17" i="37" s="1"/>
  <c r="A18" i="43"/>
  <c r="E17" i="43"/>
  <c r="D17" i="43"/>
  <c r="E17" i="32"/>
  <c r="F17" i="32"/>
  <c r="B17" i="32"/>
  <c r="A18" i="32"/>
  <c r="D17" i="32"/>
  <c r="C18" i="32" s="1"/>
  <c r="G16" i="43" l="1"/>
  <c r="B17" i="43"/>
  <c r="C17" i="43" s="1"/>
  <c r="F17" i="43" s="1"/>
  <c r="G17" i="43" s="1"/>
  <c r="J16" i="43"/>
  <c r="F16" i="37"/>
  <c r="D17" i="37"/>
  <c r="C17" i="37"/>
  <c r="A18" i="37"/>
  <c r="E18" i="37" s="1"/>
  <c r="B17" i="37"/>
  <c r="A19" i="43"/>
  <c r="E18" i="43"/>
  <c r="D18" i="43"/>
  <c r="A19" i="32"/>
  <c r="D18" i="32"/>
  <c r="E18" i="32"/>
  <c r="B18" i="32"/>
  <c r="B18" i="43" l="1"/>
  <c r="C18" i="43" s="1"/>
  <c r="F18" i="43" s="1"/>
  <c r="G18" i="43" s="1"/>
  <c r="J17" i="43"/>
  <c r="F17" i="37"/>
  <c r="B18" i="37"/>
  <c r="D18" i="37"/>
  <c r="C18" i="37"/>
  <c r="A19" i="37"/>
  <c r="E19" i="37" s="1"/>
  <c r="A20" i="43"/>
  <c r="E19" i="43"/>
  <c r="D19" i="43"/>
  <c r="F18" i="32"/>
  <c r="C19" i="32"/>
  <c r="E19" i="32"/>
  <c r="B19" i="32"/>
  <c r="A20" i="32"/>
  <c r="D19" i="32"/>
  <c r="F19" i="32" s="1"/>
  <c r="J18" i="43" l="1"/>
  <c r="B19" i="43"/>
  <c r="C19" i="43" s="1"/>
  <c r="F19" i="43" s="1"/>
  <c r="F18" i="37"/>
  <c r="D19" i="37"/>
  <c r="C19" i="37"/>
  <c r="A20" i="37"/>
  <c r="E20" i="37" s="1"/>
  <c r="B19" i="37"/>
  <c r="F19" i="37"/>
  <c r="A21" i="43"/>
  <c r="E20" i="43"/>
  <c r="D20" i="43"/>
  <c r="C20" i="32"/>
  <c r="A21" i="32"/>
  <c r="D20" i="32"/>
  <c r="E20" i="32"/>
  <c r="B20" i="32"/>
  <c r="C21" i="32" l="1"/>
  <c r="B20" i="43"/>
  <c r="C20" i="43" s="1"/>
  <c r="F20" i="43" s="1"/>
  <c r="G19" i="43"/>
  <c r="J19" i="43"/>
  <c r="B20" i="37"/>
  <c r="D20" i="37"/>
  <c r="C20" i="37"/>
  <c r="A21" i="37"/>
  <c r="E21" i="37" s="1"/>
  <c r="A22" i="43"/>
  <c r="E21" i="43"/>
  <c r="D21" i="43"/>
  <c r="E21" i="32"/>
  <c r="B21" i="32"/>
  <c r="A22" i="32"/>
  <c r="D21" i="32"/>
  <c r="F20" i="32"/>
  <c r="F21" i="32" l="1"/>
  <c r="B21" i="43"/>
  <c r="C21" i="43" s="1"/>
  <c r="F21" i="43" s="1"/>
  <c r="J21" i="43" s="1"/>
  <c r="J20" i="43"/>
  <c r="G20" i="43"/>
  <c r="F20" i="37"/>
  <c r="D21" i="37"/>
  <c r="C21" i="37"/>
  <c r="A22" i="37"/>
  <c r="E22" i="37" s="1"/>
  <c r="B21" i="37"/>
  <c r="F21" i="37"/>
  <c r="D22" i="43"/>
  <c r="A23" i="43"/>
  <c r="E22" i="43"/>
  <c r="A23" i="32"/>
  <c r="D22" i="32"/>
  <c r="E22" i="32"/>
  <c r="B22" i="32"/>
  <c r="C22" i="32"/>
  <c r="B22" i="43" l="1"/>
  <c r="C22" i="43" s="1"/>
  <c r="F22" i="43" s="1"/>
  <c r="G21" i="43"/>
  <c r="D23" i="43"/>
  <c r="B22" i="37"/>
  <c r="D22" i="37"/>
  <c r="C22" i="37"/>
  <c r="A23" i="37"/>
  <c r="E23" i="37" s="1"/>
  <c r="A24" i="43"/>
  <c r="E23" i="43"/>
  <c r="C23" i="32"/>
  <c r="F22" i="32"/>
  <c r="E23" i="32"/>
  <c r="B23" i="32"/>
  <c r="A24" i="32"/>
  <c r="D23" i="32"/>
  <c r="F23" i="32" l="1"/>
  <c r="B23" i="43"/>
  <c r="C23" i="43" s="1"/>
  <c r="F23" i="43" s="1"/>
  <c r="G22" i="43"/>
  <c r="J22" i="43"/>
  <c r="D24" i="43"/>
  <c r="F22" i="37"/>
  <c r="D23" i="37"/>
  <c r="C23" i="37"/>
  <c r="A24" i="37"/>
  <c r="E24" i="37" s="1"/>
  <c r="B23" i="37"/>
  <c r="F23" i="37"/>
  <c r="A25" i="43"/>
  <c r="E24" i="43"/>
  <c r="D25" i="43" s="1"/>
  <c r="B24" i="43"/>
  <c r="C24" i="43" s="1"/>
  <c r="C24" i="32"/>
  <c r="A25" i="32"/>
  <c r="D24" i="32"/>
  <c r="E24" i="32"/>
  <c r="B24" i="32"/>
  <c r="F24" i="32" l="1"/>
  <c r="F24" i="43"/>
  <c r="J24" i="43"/>
  <c r="G23" i="43"/>
  <c r="J23" i="43"/>
  <c r="G24" i="43"/>
  <c r="B24" i="37"/>
  <c r="D24" i="37"/>
  <c r="C24" i="37"/>
  <c r="A25" i="37"/>
  <c r="E25" i="37" s="1"/>
  <c r="A26" i="43"/>
  <c r="E25" i="43"/>
  <c r="D26" i="43" s="1"/>
  <c r="B25" i="43"/>
  <c r="C25" i="43" s="1"/>
  <c r="F25" i="43" s="1"/>
  <c r="E25" i="32"/>
  <c r="B25" i="32"/>
  <c r="A26" i="32"/>
  <c r="D25" i="32"/>
  <c r="F25" i="32" s="1"/>
  <c r="C25" i="32"/>
  <c r="G25" i="43" l="1"/>
  <c r="J25" i="43"/>
  <c r="F24" i="37"/>
  <c r="D25" i="37"/>
  <c r="C25" i="37"/>
  <c r="A26" i="37"/>
  <c r="E26" i="37" s="1"/>
  <c r="B25" i="37"/>
  <c r="A27" i="43"/>
  <c r="E26" i="43"/>
  <c r="D27" i="43" s="1"/>
  <c r="B26" i="43"/>
  <c r="C26" i="43" s="1"/>
  <c r="F26" i="43" s="1"/>
  <c r="C26" i="32"/>
  <c r="A27" i="32"/>
  <c r="D26" i="32"/>
  <c r="E26" i="32"/>
  <c r="B26" i="32"/>
  <c r="F26" i="32" l="1"/>
  <c r="J26" i="43"/>
  <c r="G26" i="43"/>
  <c r="F25" i="37"/>
  <c r="B26" i="37"/>
  <c r="D26" i="37"/>
  <c r="C26" i="37"/>
  <c r="A27" i="37"/>
  <c r="E27" i="37" s="1"/>
  <c r="A28" i="43"/>
  <c r="E27" i="43"/>
  <c r="D28" i="43" s="1"/>
  <c r="B27" i="43"/>
  <c r="C27" i="43" s="1"/>
  <c r="F27" i="43" s="1"/>
  <c r="E27" i="32"/>
  <c r="B27" i="32"/>
  <c r="A28" i="32"/>
  <c r="D27" i="32"/>
  <c r="C27" i="32"/>
  <c r="F27" i="32" l="1"/>
  <c r="J27" i="43"/>
  <c r="G27" i="43"/>
  <c r="F26" i="37"/>
  <c r="D27" i="37"/>
  <c r="C27" i="37"/>
  <c r="A28" i="37"/>
  <c r="E28" i="37" s="1"/>
  <c r="B27" i="37"/>
  <c r="F27" i="37"/>
  <c r="A29" i="43"/>
  <c r="E28" i="43"/>
  <c r="D29" i="43" s="1"/>
  <c r="B28" i="43"/>
  <c r="C28" i="43" s="1"/>
  <c r="F28" i="43" s="1"/>
  <c r="C28" i="32"/>
  <c r="A29" i="32"/>
  <c r="D28" i="32"/>
  <c r="C29" i="32" s="1"/>
  <c r="E28" i="32"/>
  <c r="B28" i="32"/>
  <c r="J28" i="43" l="1"/>
  <c r="G28" i="43"/>
  <c r="B28" i="37"/>
  <c r="D28" i="37"/>
  <c r="C28" i="37"/>
  <c r="A29" i="37"/>
  <c r="E29" i="37" s="1"/>
  <c r="A30" i="43"/>
  <c r="E29" i="43"/>
  <c r="D30" i="43" s="1"/>
  <c r="B29" i="43"/>
  <c r="C29" i="43" s="1"/>
  <c r="F29" i="43" s="1"/>
  <c r="E29" i="32"/>
  <c r="B29" i="32"/>
  <c r="A30" i="32"/>
  <c r="D29" i="32"/>
  <c r="F29" i="32" s="1"/>
  <c r="F28" i="32"/>
  <c r="J29" i="43" l="1"/>
  <c r="G29" i="43"/>
  <c r="F28" i="37"/>
  <c r="D29" i="37"/>
  <c r="C29" i="37"/>
  <c r="A30" i="37"/>
  <c r="E30" i="37" s="1"/>
  <c r="B29" i="37"/>
  <c r="F29" i="37"/>
  <c r="A31" i="43"/>
  <c r="E30" i="43"/>
  <c r="D31" i="43" s="1"/>
  <c r="B30" i="43"/>
  <c r="C30" i="43" s="1"/>
  <c r="F30" i="43" s="1"/>
  <c r="A31" i="32"/>
  <c r="D30" i="32"/>
  <c r="E30" i="32"/>
  <c r="B30" i="32"/>
  <c r="C30" i="32"/>
  <c r="J30" i="43" l="1"/>
  <c r="G30" i="43"/>
  <c r="B30" i="37"/>
  <c r="D30" i="37"/>
  <c r="C30" i="37"/>
  <c r="A31" i="37"/>
  <c r="E31" i="37" s="1"/>
  <c r="A32" i="43"/>
  <c r="E31" i="43"/>
  <c r="D32" i="43" s="1"/>
  <c r="B31" i="43"/>
  <c r="C31" i="43" s="1"/>
  <c r="F31" i="43" s="1"/>
  <c r="C31" i="32"/>
  <c r="F30" i="32"/>
  <c r="E31" i="32"/>
  <c r="B31" i="32"/>
  <c r="A32" i="32"/>
  <c r="D31" i="32"/>
  <c r="J31" i="43" l="1"/>
  <c r="G31" i="43"/>
  <c r="F30" i="37"/>
  <c r="D31" i="37"/>
  <c r="C31" i="37"/>
  <c r="A32" i="37"/>
  <c r="E32" i="37" s="1"/>
  <c r="B31" i="37"/>
  <c r="F31" i="37"/>
  <c r="A33" i="43"/>
  <c r="E32" i="43"/>
  <c r="D33" i="43" s="1"/>
  <c r="B32" i="43"/>
  <c r="C32" i="43" s="1"/>
  <c r="F32" i="43" s="1"/>
  <c r="F31" i="32"/>
  <c r="A33" i="32"/>
  <c r="D32" i="32"/>
  <c r="E32" i="32"/>
  <c r="B32" i="32"/>
  <c r="C32" i="32"/>
  <c r="F32" i="32" l="1"/>
  <c r="J32" i="43"/>
  <c r="G32" i="43"/>
  <c r="B32" i="37"/>
  <c r="D32" i="37"/>
  <c r="C32" i="37"/>
  <c r="A33" i="37"/>
  <c r="E33" i="37" s="1"/>
  <c r="A34" i="43"/>
  <c r="E33" i="43"/>
  <c r="D34" i="43" s="1"/>
  <c r="B33" i="43"/>
  <c r="C33" i="43" s="1"/>
  <c r="F33" i="43" s="1"/>
  <c r="C33" i="32"/>
  <c r="E33" i="32"/>
  <c r="B33" i="32"/>
  <c r="A34" i="32"/>
  <c r="D33" i="32"/>
  <c r="C34" i="32" l="1"/>
  <c r="F33" i="32"/>
  <c r="J33" i="43"/>
  <c r="G33" i="43"/>
  <c r="F32" i="37"/>
  <c r="D33" i="37"/>
  <c r="C33" i="37"/>
  <c r="A34" i="37"/>
  <c r="E34" i="37" s="1"/>
  <c r="B33" i="37"/>
  <c r="F33" i="37"/>
  <c r="A35" i="43"/>
  <c r="E34" i="43"/>
  <c r="D35" i="43" s="1"/>
  <c r="B34" i="43"/>
  <c r="C34" i="43" s="1"/>
  <c r="F34" i="43" s="1"/>
  <c r="A35" i="32"/>
  <c r="D34" i="32"/>
  <c r="E34" i="32"/>
  <c r="B34" i="32"/>
  <c r="F34" i="32" l="1"/>
  <c r="J34" i="43"/>
  <c r="G34" i="43"/>
  <c r="B34" i="37"/>
  <c r="D34" i="37"/>
  <c r="C34" i="37"/>
  <c r="A35" i="37"/>
  <c r="E35" i="37" s="1"/>
  <c r="A36" i="43"/>
  <c r="E35" i="43"/>
  <c r="D36" i="43" s="1"/>
  <c r="B35" i="43"/>
  <c r="C35" i="43" s="1"/>
  <c r="F35" i="43" s="1"/>
  <c r="C35" i="32"/>
  <c r="E35" i="32"/>
  <c r="B35" i="32"/>
  <c r="A36" i="32"/>
  <c r="D35" i="32"/>
  <c r="J35" i="43" l="1"/>
  <c r="G35" i="43"/>
  <c r="F34" i="37"/>
  <c r="D35" i="37"/>
  <c r="C35" i="37"/>
  <c r="A36" i="37"/>
  <c r="E36" i="37" s="1"/>
  <c r="B35" i="37"/>
  <c r="F35" i="37"/>
  <c r="A37" i="43"/>
  <c r="E36" i="43"/>
  <c r="D37" i="43" s="1"/>
  <c r="B36" i="43"/>
  <c r="C36" i="43" s="1"/>
  <c r="F36" i="43" s="1"/>
  <c r="C36" i="32"/>
  <c r="F35" i="32"/>
  <c r="A37" i="32"/>
  <c r="D36" i="32"/>
  <c r="E36" i="32"/>
  <c r="B36" i="32"/>
  <c r="C37" i="32" l="1"/>
  <c r="J36" i="43"/>
  <c r="G36" i="43"/>
  <c r="B36" i="37"/>
  <c r="D36" i="37"/>
  <c r="C36" i="37"/>
  <c r="A37" i="37"/>
  <c r="E37" i="37" s="1"/>
  <c r="A38" i="43"/>
  <c r="E37" i="43"/>
  <c r="D38" i="43" s="1"/>
  <c r="B37" i="43"/>
  <c r="C37" i="43" s="1"/>
  <c r="F37" i="43" s="1"/>
  <c r="E37" i="32"/>
  <c r="B37" i="32"/>
  <c r="A38" i="32"/>
  <c r="D37" i="32"/>
  <c r="F36" i="32"/>
  <c r="C38" i="32" l="1"/>
  <c r="G37" i="43"/>
  <c r="J37" i="43"/>
  <c r="F36" i="37"/>
  <c r="D37" i="37"/>
  <c r="C37" i="37"/>
  <c r="A38" i="37"/>
  <c r="E38" i="37" s="1"/>
  <c r="B37" i="37"/>
  <c r="A39" i="43"/>
  <c r="E38" i="43"/>
  <c r="D39" i="43" s="1"/>
  <c r="B38" i="43"/>
  <c r="C38" i="43" s="1"/>
  <c r="F38" i="43" s="1"/>
  <c r="A39" i="32"/>
  <c r="D38" i="32"/>
  <c r="C39" i="32" s="1"/>
  <c r="E38" i="32"/>
  <c r="B38" i="32"/>
  <c r="F37" i="32"/>
  <c r="F37" i="37" l="1"/>
  <c r="J38" i="43"/>
  <c r="G38" i="43"/>
  <c r="B38" i="37"/>
  <c r="D38" i="37"/>
  <c r="C38" i="37"/>
  <c r="A39" i="37"/>
  <c r="E39" i="37" s="1"/>
  <c r="A40" i="43"/>
  <c r="E39" i="43"/>
  <c r="D40" i="43" s="1"/>
  <c r="B39" i="43"/>
  <c r="C39" i="43" s="1"/>
  <c r="F39" i="43" s="1"/>
  <c r="E39" i="32"/>
  <c r="B39" i="32"/>
  <c r="A40" i="32"/>
  <c r="D39" i="32"/>
  <c r="C40" i="32" s="1"/>
  <c r="F38" i="32"/>
  <c r="G39" i="43" l="1"/>
  <c r="J39" i="43"/>
  <c r="F38" i="37"/>
  <c r="D39" i="37"/>
  <c r="C39" i="37"/>
  <c r="A40" i="37"/>
  <c r="E40" i="37" s="1"/>
  <c r="B39" i="37"/>
  <c r="A41" i="43"/>
  <c r="E40" i="43"/>
  <c r="D41" i="43" s="1"/>
  <c r="B40" i="43"/>
  <c r="C40" i="43" s="1"/>
  <c r="F40" i="43" s="1"/>
  <c r="A41" i="32"/>
  <c r="D40" i="32"/>
  <c r="C41" i="32" s="1"/>
  <c r="E40" i="32"/>
  <c r="B40" i="32"/>
  <c r="F39" i="32"/>
  <c r="F39" i="37" l="1"/>
  <c r="G40" i="43"/>
  <c r="J40" i="43"/>
  <c r="H41" i="43"/>
  <c r="I41" i="43"/>
  <c r="F41" i="43"/>
  <c r="G41" i="43"/>
  <c r="B40" i="37"/>
  <c r="D40" i="37"/>
  <c r="C40" i="37"/>
  <c r="A41" i="37"/>
  <c r="E41" i="37" s="1"/>
  <c r="A42" i="43"/>
  <c r="E41" i="43"/>
  <c r="D42" i="43" s="1"/>
  <c r="B41" i="43"/>
  <c r="C41" i="43" s="1"/>
  <c r="C42" i="32"/>
  <c r="E41" i="32"/>
  <c r="F41" i="32"/>
  <c r="B41" i="32"/>
  <c r="A42" i="32"/>
  <c r="D41" i="32"/>
  <c r="F40" i="32"/>
  <c r="H42" i="43" l="1"/>
  <c r="I42" i="43"/>
  <c r="G42" i="43"/>
  <c r="F42" i="43"/>
  <c r="F40" i="37"/>
  <c r="D41" i="37"/>
  <c r="C41" i="37"/>
  <c r="A42" i="37"/>
  <c r="E42" i="37" s="1"/>
  <c r="B41" i="37"/>
  <c r="A43" i="43"/>
  <c r="E42" i="43"/>
  <c r="D43" i="43" s="1"/>
  <c r="B42" i="43"/>
  <c r="C42" i="43" s="1"/>
  <c r="A43" i="32"/>
  <c r="D42" i="32"/>
  <c r="C43" i="32"/>
  <c r="E42" i="32"/>
  <c r="F42" i="32"/>
  <c r="B42" i="32"/>
  <c r="H43" i="43" l="1"/>
  <c r="I43" i="43"/>
  <c r="F43" i="43"/>
  <c r="G43" i="43"/>
  <c r="F41" i="37"/>
  <c r="B42" i="37"/>
  <c r="D42" i="37"/>
  <c r="C42" i="37"/>
  <c r="A43" i="37"/>
  <c r="E43" i="37" s="1"/>
  <c r="A44" i="43"/>
  <c r="E43" i="43"/>
  <c r="D44" i="43" s="1"/>
  <c r="B43" i="43"/>
  <c r="C43" i="43" s="1"/>
  <c r="C44" i="32"/>
  <c r="E43" i="32"/>
  <c r="F43" i="32"/>
  <c r="B43" i="32"/>
  <c r="A44" i="32"/>
  <c r="D43" i="32"/>
  <c r="H44" i="43" l="1"/>
  <c r="I44" i="43"/>
  <c r="F44" i="43"/>
  <c r="G44" i="43"/>
  <c r="F42" i="37"/>
  <c r="D43" i="37"/>
  <c r="F43" i="37" s="1"/>
  <c r="C43" i="37"/>
  <c r="A44" i="37"/>
  <c r="E44" i="37" s="1"/>
  <c r="B43" i="37"/>
  <c r="A45" i="43"/>
  <c r="E44" i="43"/>
  <c r="D45" i="43" s="1"/>
  <c r="B44" i="43"/>
  <c r="C44" i="43" s="1"/>
  <c r="A45" i="32"/>
  <c r="D44" i="32"/>
  <c r="C45" i="32"/>
  <c r="E44" i="32"/>
  <c r="F44" i="32"/>
  <c r="B44" i="32"/>
  <c r="H45" i="43" l="1"/>
  <c r="I45" i="43"/>
  <c r="F45" i="43"/>
  <c r="G45" i="43"/>
  <c r="B44" i="37"/>
  <c r="D44" i="37"/>
  <c r="C44" i="37"/>
  <c r="A45" i="37"/>
  <c r="E45" i="37" s="1"/>
  <c r="A46" i="43"/>
  <c r="E45" i="43"/>
  <c r="D46" i="43" s="1"/>
  <c r="B45" i="43"/>
  <c r="C45" i="43" s="1"/>
  <c r="C46" i="32"/>
  <c r="E45" i="32"/>
  <c r="F45" i="32"/>
  <c r="B45" i="32"/>
  <c r="A46" i="32"/>
  <c r="D45" i="32"/>
  <c r="H46" i="43" l="1"/>
  <c r="I46" i="43"/>
  <c r="G46" i="43"/>
  <c r="F46" i="43"/>
  <c r="F44" i="37"/>
  <c r="D45" i="37"/>
  <c r="C45" i="37"/>
  <c r="A46" i="37"/>
  <c r="E46" i="37" s="1"/>
  <c r="B45" i="37"/>
  <c r="A47" i="43"/>
  <c r="E46" i="43"/>
  <c r="D47" i="43" s="1"/>
  <c r="B46" i="43"/>
  <c r="C46" i="43" s="1"/>
  <c r="A47" i="32"/>
  <c r="D46" i="32"/>
  <c r="C47" i="32"/>
  <c r="E46" i="32"/>
  <c r="F46" i="32"/>
  <c r="B46" i="32"/>
  <c r="H47" i="43" l="1"/>
  <c r="I47" i="43"/>
  <c r="F47" i="43"/>
  <c r="G47" i="43"/>
  <c r="F45" i="37"/>
  <c r="B46" i="37"/>
  <c r="D46" i="37"/>
  <c r="C46" i="37"/>
  <c r="A47" i="37"/>
  <c r="E47" i="37" s="1"/>
  <c r="A48" i="43"/>
  <c r="E47" i="43"/>
  <c r="B47" i="43"/>
  <c r="C47" i="43"/>
  <c r="D48" i="43"/>
  <c r="C48" i="32"/>
  <c r="E47" i="32"/>
  <c r="F47" i="32"/>
  <c r="B47" i="32"/>
  <c r="A48" i="32"/>
  <c r="D47" i="32"/>
  <c r="H48" i="43" l="1"/>
  <c r="I48" i="43"/>
  <c r="F48" i="43"/>
  <c r="G48" i="43"/>
  <c r="F46" i="37"/>
  <c r="D47" i="37"/>
  <c r="C47" i="37"/>
  <c r="A48" i="37"/>
  <c r="E48" i="37" s="1"/>
  <c r="B47" i="37"/>
  <c r="F47" i="37"/>
  <c r="A49" i="43"/>
  <c r="E48" i="43"/>
  <c r="B48" i="43"/>
  <c r="C48" i="43"/>
  <c r="D49" i="43"/>
  <c r="A49" i="32"/>
  <c r="D48" i="32"/>
  <c r="C49" i="32"/>
  <c r="E48" i="32"/>
  <c r="F48" i="32"/>
  <c r="B48" i="32"/>
  <c r="H49" i="43" l="1"/>
  <c r="I49" i="43"/>
  <c r="F49" i="43"/>
  <c r="G49" i="43"/>
  <c r="B48" i="37"/>
  <c r="F48" i="37"/>
  <c r="D48" i="37"/>
  <c r="C48" i="37"/>
  <c r="A49" i="37"/>
  <c r="E49" i="37" s="1"/>
  <c r="A50" i="43"/>
  <c r="E49" i="43"/>
  <c r="B49" i="43"/>
  <c r="C49" i="43"/>
  <c r="D50" i="43"/>
  <c r="C50" i="32"/>
  <c r="E49" i="32"/>
  <c r="F49" i="32"/>
  <c r="B49" i="32"/>
  <c r="A50" i="32"/>
  <c r="D49" i="32"/>
  <c r="H50" i="43" l="1"/>
  <c r="I50" i="43"/>
  <c r="G50" i="43"/>
  <c r="F50" i="43"/>
  <c r="D49" i="37"/>
  <c r="C49" i="37"/>
  <c r="A50" i="37"/>
  <c r="E50" i="37" s="1"/>
  <c r="B49" i="37"/>
  <c r="F49" i="37"/>
  <c r="A51" i="43"/>
  <c r="E50" i="43"/>
  <c r="B50" i="43"/>
  <c r="C50" i="43"/>
  <c r="D51" i="43"/>
  <c r="A51" i="32"/>
  <c r="D50" i="32"/>
  <c r="C51" i="32"/>
  <c r="E50" i="32"/>
  <c r="F50" i="32"/>
  <c r="B50" i="32"/>
  <c r="H51" i="43" l="1"/>
  <c r="I51" i="43"/>
  <c r="F51" i="43"/>
  <c r="G51" i="43"/>
  <c r="F50" i="37"/>
  <c r="D50" i="37"/>
  <c r="C50" i="37"/>
  <c r="A51" i="37"/>
  <c r="E51" i="37" s="1"/>
  <c r="B50" i="37"/>
  <c r="A52" i="43"/>
  <c r="E51" i="43"/>
  <c r="B51" i="43"/>
  <c r="C51" i="43"/>
  <c r="D52" i="43"/>
  <c r="C52" i="32"/>
  <c r="E51" i="32"/>
  <c r="F51" i="32"/>
  <c r="B51" i="32"/>
  <c r="A52" i="32"/>
  <c r="D51" i="32"/>
  <c r="I52" i="43" l="1"/>
  <c r="H52" i="43"/>
  <c r="F52" i="43"/>
  <c r="G52" i="43"/>
  <c r="C51" i="37"/>
  <c r="A52" i="37"/>
  <c r="E52" i="37" s="1"/>
  <c r="B51" i="37"/>
  <c r="F51" i="37"/>
  <c r="D51" i="37"/>
  <c r="A53" i="43"/>
  <c r="E52" i="43"/>
  <c r="B52" i="43"/>
  <c r="C52" i="43"/>
  <c r="D53" i="43"/>
  <c r="A53" i="32"/>
  <c r="D52" i="32"/>
  <c r="C53" i="32"/>
  <c r="E52" i="32"/>
  <c r="F52" i="32"/>
  <c r="B52" i="32"/>
  <c r="H53" i="43" l="1"/>
  <c r="I53" i="43"/>
  <c r="F53" i="43"/>
  <c r="G53" i="43"/>
  <c r="B52" i="37"/>
  <c r="D52" i="37"/>
  <c r="C52" i="37"/>
  <c r="A53" i="37"/>
  <c r="E53" i="37" s="1"/>
  <c r="F52" i="37"/>
  <c r="A54" i="43"/>
  <c r="E53" i="43"/>
  <c r="B53" i="43"/>
  <c r="C53" i="43"/>
  <c r="D54" i="43"/>
  <c r="C54" i="32"/>
  <c r="E53" i="32"/>
  <c r="F53" i="32"/>
  <c r="B53" i="32"/>
  <c r="A54" i="32"/>
  <c r="D53" i="32"/>
  <c r="H54" i="43" l="1"/>
  <c r="I54" i="43"/>
  <c r="G54" i="43"/>
  <c r="F54" i="43"/>
  <c r="D53" i="37"/>
  <c r="C53" i="37"/>
  <c r="A54" i="37"/>
  <c r="E54" i="37" s="1"/>
  <c r="B53" i="37"/>
  <c r="F53" i="37"/>
  <c r="A55" i="43"/>
  <c r="E54" i="43"/>
  <c r="B54" i="43"/>
  <c r="C54" i="43"/>
  <c r="D55" i="43"/>
  <c r="A55" i="32"/>
  <c r="D54" i="32"/>
  <c r="C55" i="32"/>
  <c r="E54" i="32"/>
  <c r="F54" i="32"/>
  <c r="B54" i="32"/>
  <c r="H55" i="43" l="1"/>
  <c r="I55" i="43"/>
  <c r="F55" i="43"/>
  <c r="G55" i="43"/>
  <c r="F54" i="37"/>
  <c r="D54" i="37"/>
  <c r="C54" i="37"/>
  <c r="A55" i="37"/>
  <c r="E55" i="37" s="1"/>
  <c r="B54" i="37"/>
  <c r="A56" i="43"/>
  <c r="E55" i="43"/>
  <c r="B55" i="43"/>
  <c r="C55" i="43"/>
  <c r="D56" i="43"/>
  <c r="C56" i="32"/>
  <c r="E55" i="32"/>
  <c r="F55" i="32"/>
  <c r="B55" i="32"/>
  <c r="A56" i="32"/>
  <c r="D55" i="32"/>
  <c r="H56" i="43" l="1"/>
  <c r="I56" i="43"/>
  <c r="F56" i="43"/>
  <c r="G56" i="43"/>
  <c r="C55" i="37"/>
  <c r="A56" i="37"/>
  <c r="E56" i="37" s="1"/>
  <c r="B55" i="37"/>
  <c r="F55" i="37"/>
  <c r="D55" i="37"/>
  <c r="A57" i="43"/>
  <c r="E56" i="43"/>
  <c r="B56" i="43"/>
  <c r="C56" i="43"/>
  <c r="D57" i="43"/>
  <c r="A57" i="32"/>
  <c r="D56" i="32"/>
  <c r="C57" i="32"/>
  <c r="E56" i="32"/>
  <c r="F56" i="32"/>
  <c r="B56" i="32"/>
  <c r="H57" i="43" l="1"/>
  <c r="I57" i="43"/>
  <c r="F57" i="43"/>
  <c r="G57" i="43"/>
  <c r="F56" i="37"/>
  <c r="D56" i="37"/>
  <c r="C56" i="37"/>
  <c r="A57" i="37"/>
  <c r="E57" i="37" s="1"/>
  <c r="B56" i="37"/>
  <c r="A58" i="43"/>
  <c r="E57" i="43"/>
  <c r="B57" i="43"/>
  <c r="C57" i="43"/>
  <c r="D58" i="43"/>
  <c r="C58" i="32"/>
  <c r="E57" i="32"/>
  <c r="F57" i="32"/>
  <c r="B57" i="32"/>
  <c r="A58" i="32"/>
  <c r="D57" i="32"/>
  <c r="H58" i="43" l="1"/>
  <c r="I58" i="43"/>
  <c r="G58" i="43"/>
  <c r="F58" i="43"/>
  <c r="C57" i="37"/>
  <c r="A58" i="37"/>
  <c r="E58" i="37" s="1"/>
  <c r="B57" i="37"/>
  <c r="F57" i="37"/>
  <c r="D57" i="37"/>
  <c r="A59" i="43"/>
  <c r="E58" i="43"/>
  <c r="B58" i="43"/>
  <c r="C58" i="43"/>
  <c r="D59" i="43"/>
  <c r="A59" i="32"/>
  <c r="D58" i="32"/>
  <c r="C59" i="32"/>
  <c r="E58" i="32"/>
  <c r="F58" i="32"/>
  <c r="B58" i="32"/>
  <c r="H59" i="43" l="1"/>
  <c r="I59" i="43"/>
  <c r="F59" i="43"/>
  <c r="G59" i="43"/>
  <c r="F58" i="37"/>
  <c r="D58" i="37"/>
  <c r="C58" i="37"/>
  <c r="A59" i="37"/>
  <c r="E59" i="37" s="1"/>
  <c r="B58" i="37"/>
  <c r="A60" i="43"/>
  <c r="E59" i="43"/>
  <c r="B59" i="43"/>
  <c r="C59" i="43"/>
  <c r="D60" i="43"/>
  <c r="C60" i="32"/>
  <c r="E59" i="32"/>
  <c r="F59" i="32"/>
  <c r="B59" i="32"/>
  <c r="A60" i="32"/>
  <c r="D59" i="32"/>
  <c r="H60" i="43" l="1"/>
  <c r="I60" i="43"/>
  <c r="F60" i="43"/>
  <c r="G60" i="43"/>
  <c r="C59" i="37"/>
  <c r="A60" i="37"/>
  <c r="E60" i="37" s="1"/>
  <c r="B59" i="37"/>
  <c r="F59" i="37"/>
  <c r="D59" i="37"/>
  <c r="A61" i="43"/>
  <c r="E60" i="43"/>
  <c r="B60" i="43"/>
  <c r="C60" i="43"/>
  <c r="D61" i="43"/>
  <c r="A61" i="32"/>
  <c r="D60" i="32"/>
  <c r="C61" i="32"/>
  <c r="E60" i="32"/>
  <c r="F60" i="32"/>
  <c r="B60" i="32"/>
  <c r="H61" i="43" l="1"/>
  <c r="I61" i="43"/>
  <c r="F61" i="43"/>
  <c r="G61" i="43"/>
  <c r="B60" i="37"/>
  <c r="D60" i="37"/>
  <c r="C60" i="37"/>
  <c r="A61" i="37"/>
  <c r="E61" i="37" s="1"/>
  <c r="F60" i="37"/>
  <c r="A62" i="43"/>
  <c r="E61" i="43"/>
  <c r="B61" i="43"/>
  <c r="C61" i="43"/>
  <c r="D62" i="43"/>
  <c r="C62" i="32"/>
  <c r="E61" i="32"/>
  <c r="F61" i="32"/>
  <c r="B61" i="32"/>
  <c r="A62" i="32"/>
  <c r="D61" i="32"/>
  <c r="H62" i="43" l="1"/>
  <c r="I62" i="43"/>
  <c r="G62" i="43"/>
  <c r="F62" i="43"/>
  <c r="D61" i="37"/>
  <c r="C61" i="37"/>
  <c r="A62" i="37"/>
  <c r="E62" i="37" s="1"/>
  <c r="B61" i="37"/>
  <c r="F61" i="37"/>
  <c r="A63" i="43"/>
  <c r="E62" i="43"/>
  <c r="B62" i="43"/>
  <c r="C62" i="43"/>
  <c r="D63" i="43"/>
  <c r="A63" i="32"/>
  <c r="D62" i="32"/>
  <c r="C63" i="32"/>
  <c r="E62" i="32"/>
  <c r="F62" i="32"/>
  <c r="B62" i="32"/>
  <c r="I63" i="43" l="1"/>
  <c r="H63" i="43"/>
  <c r="F63" i="43"/>
  <c r="G63" i="43"/>
  <c r="F62" i="37"/>
  <c r="D62" i="37"/>
  <c r="C62" i="37"/>
  <c r="A63" i="37"/>
  <c r="E63" i="37" s="1"/>
  <c r="B62" i="37"/>
  <c r="A64" i="43"/>
  <c r="E63" i="43"/>
  <c r="B63" i="43"/>
  <c r="C63" i="43"/>
  <c r="D64" i="43"/>
  <c r="C64" i="32"/>
  <c r="E63" i="32"/>
  <c r="F63" i="32"/>
  <c r="B63" i="32"/>
  <c r="A64" i="32"/>
  <c r="D63" i="32"/>
  <c r="I64" i="43" l="1"/>
  <c r="H64" i="43"/>
  <c r="F64" i="43"/>
  <c r="G64" i="43"/>
  <c r="C63" i="37"/>
  <c r="A64" i="37"/>
  <c r="E64" i="37" s="1"/>
  <c r="B63" i="37"/>
  <c r="F63" i="37"/>
  <c r="D63" i="37"/>
  <c r="A65" i="43"/>
  <c r="E64" i="43"/>
  <c r="B64" i="43"/>
  <c r="C64" i="43"/>
  <c r="D65" i="43"/>
  <c r="A65" i="32"/>
  <c r="D64" i="32"/>
  <c r="C65" i="32"/>
  <c r="E64" i="32"/>
  <c r="F64" i="32"/>
  <c r="B64" i="32"/>
  <c r="H65" i="43" l="1"/>
  <c r="I65" i="43"/>
  <c r="F65" i="43"/>
  <c r="G65" i="43"/>
  <c r="B64" i="37"/>
  <c r="D64" i="37"/>
  <c r="C64" i="37"/>
  <c r="A65" i="37"/>
  <c r="E65" i="37" s="1"/>
  <c r="F64" i="37"/>
  <c r="A66" i="43"/>
  <c r="E65" i="43"/>
  <c r="B65" i="43"/>
  <c r="C65" i="43"/>
  <c r="D66" i="43"/>
  <c r="C66" i="32"/>
  <c r="E65" i="32"/>
  <c r="F65" i="32"/>
  <c r="B65" i="32"/>
  <c r="A66" i="32"/>
  <c r="D65" i="32"/>
  <c r="H66" i="43" l="1"/>
  <c r="I66" i="43"/>
  <c r="G66" i="43"/>
  <c r="F66" i="43"/>
  <c r="D65" i="37"/>
  <c r="A66" i="37"/>
  <c r="E66" i="37" s="1"/>
  <c r="B65" i="37"/>
  <c r="F65" i="37"/>
  <c r="C65" i="37"/>
  <c r="A67" i="43"/>
  <c r="E66" i="43"/>
  <c r="B66" i="43"/>
  <c r="C66" i="43"/>
  <c r="D67" i="43"/>
  <c r="A67" i="32"/>
  <c r="D66" i="32"/>
  <c r="C67" i="32"/>
  <c r="E66" i="32"/>
  <c r="F66" i="32"/>
  <c r="B66" i="32"/>
  <c r="H67" i="43" l="1"/>
  <c r="I67" i="43"/>
  <c r="F67" i="43"/>
  <c r="G67" i="43"/>
  <c r="F66" i="37"/>
  <c r="D66" i="37"/>
  <c r="C66" i="37"/>
  <c r="A67" i="37"/>
  <c r="E67" i="37" s="1"/>
  <c r="B66" i="37"/>
  <c r="A68" i="43"/>
  <c r="E67" i="43"/>
  <c r="B67" i="43"/>
  <c r="C67" i="43"/>
  <c r="D68" i="43"/>
  <c r="C68" i="32"/>
  <c r="E67" i="32"/>
  <c r="F67" i="32"/>
  <c r="B67" i="32"/>
  <c r="A68" i="32"/>
  <c r="D67" i="32"/>
  <c r="H68" i="43" l="1"/>
  <c r="I68" i="43"/>
  <c r="F68" i="43"/>
  <c r="G68" i="43"/>
  <c r="C67" i="37"/>
  <c r="B67" i="37"/>
  <c r="F67" i="37"/>
  <c r="D67" i="37"/>
  <c r="A68" i="37"/>
  <c r="E68" i="37" s="1"/>
  <c r="A69" i="43"/>
  <c r="E68" i="43"/>
  <c r="B68" i="43"/>
  <c r="C68" i="43"/>
  <c r="D69" i="43"/>
  <c r="A69" i="32"/>
  <c r="D68" i="32"/>
  <c r="C69" i="32"/>
  <c r="E68" i="32"/>
  <c r="F68" i="32"/>
  <c r="B68" i="32"/>
  <c r="H69" i="43" l="1"/>
  <c r="I69" i="43"/>
  <c r="F69" i="43"/>
  <c r="G69" i="43"/>
  <c r="B68" i="37"/>
  <c r="D68" i="37"/>
  <c r="C68" i="37"/>
  <c r="A69" i="37"/>
  <c r="E69" i="37" s="1"/>
  <c r="F68" i="37"/>
  <c r="A70" i="43"/>
  <c r="E69" i="43"/>
  <c r="B69" i="43"/>
  <c r="C69" i="43"/>
  <c r="D70" i="43"/>
  <c r="C70" i="32"/>
  <c r="E69" i="32"/>
  <c r="F69" i="32"/>
  <c r="B69" i="32"/>
  <c r="A70" i="32"/>
  <c r="D69" i="32"/>
  <c r="H70" i="43" l="1"/>
  <c r="I70" i="43"/>
  <c r="G70" i="43"/>
  <c r="G9" i="43" s="1"/>
  <c r="H9" i="43" s="1"/>
  <c r="F70" i="43"/>
  <c r="F9" i="43" s="1"/>
  <c r="A70" i="37"/>
  <c r="E70" i="37" s="1"/>
  <c r="E9" i="37" s="1"/>
  <c r="B69" i="37"/>
  <c r="D69" i="37"/>
  <c r="C69" i="37"/>
  <c r="F69" i="37"/>
  <c r="E70" i="43"/>
  <c r="E9" i="43" s="1"/>
  <c r="B70" i="43"/>
  <c r="C70" i="43"/>
  <c r="D70" i="32"/>
  <c r="D9" i="32" s="1"/>
  <c r="E70" i="32"/>
  <c r="E9" i="32" s="1"/>
  <c r="F70" i="32"/>
  <c r="B70" i="32"/>
  <c r="J9" i="43" l="1"/>
  <c r="F9" i="32"/>
  <c r="H12" i="43"/>
  <c r="I12" i="43" s="1"/>
  <c r="H11" i="43"/>
  <c r="H13" i="43"/>
  <c r="I13" i="43" s="1"/>
  <c r="H14" i="43"/>
  <c r="I14" i="43" s="1"/>
  <c r="H15" i="43"/>
  <c r="I15" i="43" s="1"/>
  <c r="H16" i="43"/>
  <c r="I16" i="43" s="1"/>
  <c r="H17" i="43"/>
  <c r="I17" i="43" s="1"/>
  <c r="H18" i="43"/>
  <c r="I18" i="43" s="1"/>
  <c r="H19" i="43"/>
  <c r="I19" i="43" s="1"/>
  <c r="H20" i="43"/>
  <c r="I20" i="43" s="1"/>
  <c r="H21" i="43"/>
  <c r="I21" i="43" s="1"/>
  <c r="H22" i="43"/>
  <c r="I22" i="43" s="1"/>
  <c r="H23" i="43"/>
  <c r="I23" i="43" s="1"/>
  <c r="H24" i="43"/>
  <c r="I24" i="43" s="1"/>
  <c r="H25" i="43"/>
  <c r="I25" i="43" s="1"/>
  <c r="H26" i="43"/>
  <c r="I26" i="43" s="1"/>
  <c r="H27" i="43"/>
  <c r="I27" i="43" s="1"/>
  <c r="H28" i="43"/>
  <c r="I28" i="43" s="1"/>
  <c r="H29" i="43"/>
  <c r="I29" i="43" s="1"/>
  <c r="H30" i="43"/>
  <c r="I30" i="43" s="1"/>
  <c r="H31" i="43"/>
  <c r="I31" i="43" s="1"/>
  <c r="H32" i="43"/>
  <c r="I32" i="43" s="1"/>
  <c r="H33" i="43"/>
  <c r="I33" i="43" s="1"/>
  <c r="H34" i="43"/>
  <c r="I34" i="43" s="1"/>
  <c r="H35" i="43"/>
  <c r="I35" i="43" s="1"/>
  <c r="H36" i="43"/>
  <c r="I36" i="43" s="1"/>
  <c r="H37" i="43"/>
  <c r="I37" i="43" s="1"/>
  <c r="H38" i="43"/>
  <c r="I38" i="43" s="1"/>
  <c r="H39" i="43"/>
  <c r="I39" i="43" s="1"/>
  <c r="H40" i="43"/>
  <c r="I40" i="43" s="1"/>
  <c r="B70" i="37"/>
  <c r="D70" i="37"/>
  <c r="D9" i="37" s="1"/>
  <c r="C70" i="37"/>
  <c r="F70" i="37"/>
  <c r="F9" i="37" s="1"/>
  <c r="E7" i="37"/>
  <c r="B11" i="40"/>
  <c r="A12" i="40"/>
  <c r="A13" i="40" s="1"/>
  <c r="E11" i="40"/>
  <c r="D11" i="40"/>
  <c r="C12" i="26"/>
  <c r="A13" i="26"/>
  <c r="A14" i="26" s="1"/>
  <c r="B13" i="26" l="1"/>
  <c r="B14" i="26" s="1"/>
  <c r="B15" i="26" s="1"/>
  <c r="K16" i="43"/>
  <c r="L16" i="43" s="1"/>
  <c r="I11" i="43"/>
  <c r="K28" i="43"/>
  <c r="L28" i="43" s="1"/>
  <c r="K40" i="43"/>
  <c r="L40" i="43" s="1"/>
  <c r="K22" i="43"/>
  <c r="L22" i="43" s="1"/>
  <c r="K34" i="43"/>
  <c r="L34" i="43" s="1"/>
  <c r="K18" i="43"/>
  <c r="L18" i="43" s="1"/>
  <c r="K33" i="43"/>
  <c r="L33" i="43" s="1"/>
  <c r="K17" i="43"/>
  <c r="L17" i="43" s="1"/>
  <c r="K37" i="43"/>
  <c r="L37" i="43" s="1"/>
  <c r="K21" i="43"/>
  <c r="L21" i="43" s="1"/>
  <c r="K24" i="43"/>
  <c r="L24" i="43" s="1"/>
  <c r="K36" i="43"/>
  <c r="L36" i="43" s="1"/>
  <c r="K20" i="43"/>
  <c r="L20" i="43" s="1"/>
  <c r="K35" i="43"/>
  <c r="L35" i="43" s="1"/>
  <c r="K19" i="43"/>
  <c r="L19" i="43" s="1"/>
  <c r="K39" i="43"/>
  <c r="L39" i="43" s="1"/>
  <c r="K23" i="43"/>
  <c r="L23" i="43" s="1"/>
  <c r="K31" i="43"/>
  <c r="L31" i="43" s="1"/>
  <c r="K12" i="43"/>
  <c r="L12" i="43" s="1"/>
  <c r="K27" i="43"/>
  <c r="L27" i="43" s="1"/>
  <c r="K15" i="43"/>
  <c r="L15" i="43" s="1"/>
  <c r="K14" i="43"/>
  <c r="L14" i="43" s="1"/>
  <c r="K32" i="43"/>
  <c r="L32" i="43" s="1"/>
  <c r="K29" i="43"/>
  <c r="L29" i="43" s="1"/>
  <c r="K11" i="43"/>
  <c r="L11" i="43" s="1"/>
  <c r="L9" i="43" s="1"/>
  <c r="K25" i="43"/>
  <c r="L25" i="43" s="1"/>
  <c r="K13" i="43"/>
  <c r="L13" i="43" s="1"/>
  <c r="K26" i="43"/>
  <c r="L26" i="43" s="1"/>
  <c r="K38" i="43"/>
  <c r="L38" i="43" s="1"/>
  <c r="K30" i="43"/>
  <c r="L30" i="43" s="1"/>
  <c r="E8" i="37"/>
  <c r="F8" i="37" s="1"/>
  <c r="F7" i="37"/>
  <c r="B12" i="40"/>
  <c r="C12" i="40" s="1"/>
  <c r="A15" i="26"/>
  <c r="F11" i="40"/>
  <c r="G11" i="40" s="1"/>
  <c r="A14" i="40"/>
  <c r="E13" i="40"/>
  <c r="E12" i="40"/>
  <c r="D12" i="40"/>
  <c r="A12" i="35"/>
  <c r="A13" i="35" s="1"/>
  <c r="E11" i="35"/>
  <c r="D11" i="35"/>
  <c r="B11" i="35"/>
  <c r="B13" i="40" l="1"/>
  <c r="F12" i="40"/>
  <c r="G12" i="40" s="1"/>
  <c r="A16" i="26"/>
  <c r="B16" i="26" s="1"/>
  <c r="D13" i="40"/>
  <c r="A15" i="40"/>
  <c r="E14" i="40"/>
  <c r="B12" i="35"/>
  <c r="E13" i="35"/>
  <c r="A14" i="35"/>
  <c r="E12" i="35"/>
  <c r="D12" i="35"/>
  <c r="B14" i="40" l="1"/>
  <c r="C13" i="40"/>
  <c r="F13" i="40"/>
  <c r="G13" i="40" s="1"/>
  <c r="A17" i="26"/>
  <c r="B17" i="26" s="1"/>
  <c r="E15" i="40"/>
  <c r="A16" i="40"/>
  <c r="D14" i="40"/>
  <c r="C12" i="35"/>
  <c r="F12" i="35" s="1"/>
  <c r="B13" i="35"/>
  <c r="B14" i="35" s="1"/>
  <c r="B15" i="35" s="1"/>
  <c r="E14" i="35"/>
  <c r="A15" i="35"/>
  <c r="D13" i="35"/>
  <c r="B15" i="40" l="1"/>
  <c r="C14" i="40"/>
  <c r="F14" i="40"/>
  <c r="G14" i="40" s="1"/>
  <c r="D15" i="40"/>
  <c r="A18" i="26"/>
  <c r="B18" i="26" s="1"/>
  <c r="A17" i="40"/>
  <c r="D16" i="40"/>
  <c r="E16" i="40"/>
  <c r="F11" i="35"/>
  <c r="C13" i="35"/>
  <c r="A16" i="35"/>
  <c r="B16" i="35" s="1"/>
  <c r="E15" i="35"/>
  <c r="C14" i="35"/>
  <c r="G12" i="35"/>
  <c r="D14" i="35"/>
  <c r="F14" i="35" l="1"/>
  <c r="F13" i="35"/>
  <c r="G13" i="35" s="1"/>
  <c r="G11" i="35"/>
  <c r="B16" i="40"/>
  <c r="C15" i="40"/>
  <c r="F15" i="40" s="1"/>
  <c r="G15" i="40" s="1"/>
  <c r="A19" i="26"/>
  <c r="B19" i="26" s="1"/>
  <c r="A18" i="40"/>
  <c r="D17" i="40"/>
  <c r="E17" i="40"/>
  <c r="A17" i="35"/>
  <c r="B17" i="35" s="1"/>
  <c r="E16" i="35"/>
  <c r="D15" i="35"/>
  <c r="D16" i="35" s="1"/>
  <c r="C15" i="35"/>
  <c r="F15" i="35" l="1"/>
  <c r="G15" i="35" s="1"/>
  <c r="B17" i="40"/>
  <c r="C16" i="40"/>
  <c r="F16" i="40" s="1"/>
  <c r="G16" i="40" s="1"/>
  <c r="A20" i="26"/>
  <c r="B20" i="26" s="1"/>
  <c r="A19" i="40"/>
  <c r="D18" i="40"/>
  <c r="E18" i="40"/>
  <c r="G14" i="35"/>
  <c r="C16" i="35"/>
  <c r="A18" i="35"/>
  <c r="B18" i="35" s="1"/>
  <c r="E17" i="35"/>
  <c r="D17" i="35"/>
  <c r="F16" i="35" l="1"/>
  <c r="G16" i="35" s="1"/>
  <c r="B18" i="40"/>
  <c r="C17" i="40"/>
  <c r="F17" i="40" s="1"/>
  <c r="G17" i="40" s="1"/>
  <c r="A21" i="26"/>
  <c r="B21" i="26" s="1"/>
  <c r="E19" i="40"/>
  <c r="A20" i="40"/>
  <c r="D19" i="40"/>
  <c r="E18" i="35"/>
  <c r="A19" i="35"/>
  <c r="B19" i="35" s="1"/>
  <c r="D18" i="35"/>
  <c r="C17" i="35"/>
  <c r="F17" i="35" l="1"/>
  <c r="B19" i="40"/>
  <c r="C18" i="40"/>
  <c r="F18" i="40" s="1"/>
  <c r="G18" i="40" s="1"/>
  <c r="A22" i="26"/>
  <c r="B22" i="26" s="1"/>
  <c r="A21" i="40"/>
  <c r="D20" i="40"/>
  <c r="E20" i="40"/>
  <c r="A20" i="35"/>
  <c r="B20" i="35" s="1"/>
  <c r="D19" i="35"/>
  <c r="E19" i="35"/>
  <c r="C18" i="35"/>
  <c r="F18" i="35" l="1"/>
  <c r="G18" i="35" s="1"/>
  <c r="G17" i="35"/>
  <c r="B20" i="40"/>
  <c r="C19" i="40"/>
  <c r="F19" i="40" s="1"/>
  <c r="G19" i="40" s="1"/>
  <c r="A23" i="26"/>
  <c r="B23" i="26" s="1"/>
  <c r="A22" i="40"/>
  <c r="D21" i="40"/>
  <c r="E21" i="40"/>
  <c r="A21" i="35"/>
  <c r="B21" i="35" s="1"/>
  <c r="D20" i="35"/>
  <c r="E20" i="35"/>
  <c r="C19" i="35"/>
  <c r="F19" i="35" l="1"/>
  <c r="G19" i="35" s="1"/>
  <c r="B21" i="40"/>
  <c r="C20" i="40"/>
  <c r="F20" i="40" s="1"/>
  <c r="G20" i="40" s="1"/>
  <c r="A24" i="26"/>
  <c r="B24" i="26" s="1"/>
  <c r="A23" i="40"/>
  <c r="D22" i="40"/>
  <c r="E22" i="40"/>
  <c r="A22" i="35"/>
  <c r="B22" i="35" s="1"/>
  <c r="E21" i="35"/>
  <c r="D21" i="35"/>
  <c r="C20" i="35"/>
  <c r="F20" i="35" l="1"/>
  <c r="G20" i="35" s="1"/>
  <c r="B22" i="40"/>
  <c r="C21" i="40"/>
  <c r="F21" i="40" s="1"/>
  <c r="G21" i="40" s="1"/>
  <c r="A25" i="26"/>
  <c r="B25" i="26" s="1"/>
  <c r="E23" i="40"/>
  <c r="A24" i="40"/>
  <c r="D23" i="40"/>
  <c r="C21" i="35"/>
  <c r="A23" i="35"/>
  <c r="B23" i="35" s="1"/>
  <c r="E22" i="35"/>
  <c r="D22" i="35"/>
  <c r="F21" i="35" l="1"/>
  <c r="G21" i="35" s="1"/>
  <c r="B23" i="40"/>
  <c r="C22" i="40"/>
  <c r="F22" i="40" s="1"/>
  <c r="G22" i="40" s="1"/>
  <c r="A26" i="26"/>
  <c r="B26" i="26" s="1"/>
  <c r="A25" i="40"/>
  <c r="D24" i="40"/>
  <c r="E24" i="40"/>
  <c r="E23" i="35"/>
  <c r="A24" i="35"/>
  <c r="B24" i="35" s="1"/>
  <c r="D23" i="35"/>
  <c r="C22" i="35"/>
  <c r="F22" i="35" l="1"/>
  <c r="G22" i="35" s="1"/>
  <c r="B24" i="40"/>
  <c r="C23" i="40"/>
  <c r="F23" i="40" s="1"/>
  <c r="G23" i="40" s="1"/>
  <c r="A27" i="26"/>
  <c r="A26" i="40"/>
  <c r="D25" i="40"/>
  <c r="E25" i="40"/>
  <c r="A25" i="35"/>
  <c r="B25" i="35" s="1"/>
  <c r="D24" i="35"/>
  <c r="E24" i="35"/>
  <c r="C23" i="35"/>
  <c r="F23" i="35" l="1"/>
  <c r="G23" i="35" s="1"/>
  <c r="B25" i="40"/>
  <c r="C24" i="40"/>
  <c r="F24" i="40" s="1"/>
  <c r="G24" i="40" s="1"/>
  <c r="A28" i="26"/>
  <c r="B27" i="26"/>
  <c r="B28" i="26" s="1"/>
  <c r="A27" i="40"/>
  <c r="D26" i="40"/>
  <c r="E26" i="40"/>
  <c r="E25" i="35"/>
  <c r="A26" i="35"/>
  <c r="B26" i="35" s="1"/>
  <c r="D25" i="35"/>
  <c r="C24" i="35"/>
  <c r="F24" i="35" l="1"/>
  <c r="G24" i="35" s="1"/>
  <c r="B26" i="40"/>
  <c r="C25" i="40"/>
  <c r="F25" i="40" s="1"/>
  <c r="G25" i="40" s="1"/>
  <c r="A29" i="26"/>
  <c r="B29" i="26" s="1"/>
  <c r="E27" i="40"/>
  <c r="A28" i="40"/>
  <c r="D27" i="40"/>
  <c r="E26" i="35"/>
  <c r="A27" i="35"/>
  <c r="B27" i="35" s="1"/>
  <c r="D26" i="35"/>
  <c r="C25" i="35"/>
  <c r="F25" i="35" l="1"/>
  <c r="G25" i="35" s="1"/>
  <c r="B27" i="40"/>
  <c r="C26" i="40"/>
  <c r="F26" i="40" s="1"/>
  <c r="G26" i="40" s="1"/>
  <c r="A30" i="26"/>
  <c r="B30" i="26" s="1"/>
  <c r="A29" i="40"/>
  <c r="D28" i="40"/>
  <c r="E28" i="40"/>
  <c r="E27" i="35"/>
  <c r="A28" i="35"/>
  <c r="B28" i="35" s="1"/>
  <c r="D27" i="35"/>
  <c r="C26" i="35"/>
  <c r="F26" i="35" l="1"/>
  <c r="G26" i="35" s="1"/>
  <c r="B28" i="40"/>
  <c r="C27" i="40"/>
  <c r="F27" i="40" s="1"/>
  <c r="G27" i="40" s="1"/>
  <c r="A31" i="26"/>
  <c r="B31" i="26" s="1"/>
  <c r="A30" i="40"/>
  <c r="D29" i="40"/>
  <c r="E29" i="40"/>
  <c r="A29" i="35"/>
  <c r="B29" i="35" s="1"/>
  <c r="D28" i="35"/>
  <c r="E28" i="35"/>
  <c r="C27" i="35"/>
  <c r="F27" i="35" l="1"/>
  <c r="G27" i="35" s="1"/>
  <c r="B29" i="40"/>
  <c r="C28" i="40"/>
  <c r="F28" i="40" s="1"/>
  <c r="G28" i="40" s="1"/>
  <c r="A32" i="26"/>
  <c r="B32" i="26" s="1"/>
  <c r="A31" i="40"/>
  <c r="D30" i="40"/>
  <c r="E30" i="40"/>
  <c r="D29" i="35"/>
  <c r="E29" i="35"/>
  <c r="A30" i="35"/>
  <c r="B30" i="35" s="1"/>
  <c r="C28" i="35"/>
  <c r="F28" i="35" l="1"/>
  <c r="G28" i="35" s="1"/>
  <c r="B30" i="40"/>
  <c r="C29" i="40"/>
  <c r="F29" i="40" s="1"/>
  <c r="G29" i="40" s="1"/>
  <c r="A33" i="26"/>
  <c r="B33" i="26" s="1"/>
  <c r="E31" i="40"/>
  <c r="A32" i="40"/>
  <c r="D31" i="40"/>
  <c r="C29" i="35"/>
  <c r="D30" i="35"/>
  <c r="E30" i="35"/>
  <c r="A31" i="35"/>
  <c r="B31" i="35" s="1"/>
  <c r="F29" i="35" l="1"/>
  <c r="G29" i="35" s="1"/>
  <c r="B31" i="40"/>
  <c r="C30" i="40"/>
  <c r="F30" i="40" s="1"/>
  <c r="G30" i="40" s="1"/>
  <c r="A34" i="26"/>
  <c r="B34" i="26" s="1"/>
  <c r="A33" i="40"/>
  <c r="D32" i="40"/>
  <c r="E32" i="40"/>
  <c r="C30" i="35"/>
  <c r="E31" i="35"/>
  <c r="A32" i="35"/>
  <c r="B32" i="35" s="1"/>
  <c r="D31" i="35"/>
  <c r="F30" i="35" l="1"/>
  <c r="G30" i="35" s="1"/>
  <c r="B32" i="40"/>
  <c r="C31" i="40"/>
  <c r="F31" i="40" s="1"/>
  <c r="G31" i="40" s="1"/>
  <c r="A35" i="26"/>
  <c r="B35" i="26" s="1"/>
  <c r="A34" i="40"/>
  <c r="D33" i="40"/>
  <c r="E33" i="40"/>
  <c r="C31" i="35"/>
  <c r="A33" i="35"/>
  <c r="B33" i="35" s="1"/>
  <c r="D32" i="35"/>
  <c r="E32" i="35"/>
  <c r="F31" i="35" l="1"/>
  <c r="G31" i="35" s="1"/>
  <c r="B33" i="40"/>
  <c r="C32" i="40"/>
  <c r="F32" i="40" s="1"/>
  <c r="G32" i="40" s="1"/>
  <c r="A36" i="26"/>
  <c r="B36" i="26" s="1"/>
  <c r="A35" i="40"/>
  <c r="D34" i="40"/>
  <c r="E34" i="40"/>
  <c r="A34" i="35"/>
  <c r="B34" i="35" s="1"/>
  <c r="D33" i="35"/>
  <c r="E33" i="35"/>
  <c r="C32" i="35"/>
  <c r="F32" i="35" l="1"/>
  <c r="G32" i="35" s="1"/>
  <c r="B34" i="40"/>
  <c r="C33" i="40"/>
  <c r="F33" i="40" s="1"/>
  <c r="G33" i="40" s="1"/>
  <c r="A37" i="26"/>
  <c r="B37" i="26" s="1"/>
  <c r="E35" i="40"/>
  <c r="A36" i="40"/>
  <c r="D35" i="40"/>
  <c r="C33" i="35"/>
  <c r="E34" i="35"/>
  <c r="D34" i="35"/>
  <c r="A35" i="35"/>
  <c r="B35" i="35" s="1"/>
  <c r="F33" i="35" l="1"/>
  <c r="G33" i="35" s="1"/>
  <c r="B35" i="40"/>
  <c r="C34" i="40"/>
  <c r="F34" i="40" s="1"/>
  <c r="G34" i="40" s="1"/>
  <c r="A38" i="26"/>
  <c r="B38" i="26" s="1"/>
  <c r="A37" i="40"/>
  <c r="D36" i="40"/>
  <c r="E36" i="40"/>
  <c r="E35" i="35"/>
  <c r="A36" i="35"/>
  <c r="B36" i="35" s="1"/>
  <c r="D35" i="35"/>
  <c r="C34" i="35"/>
  <c r="F34" i="35" l="1"/>
  <c r="G34" i="35" s="1"/>
  <c r="B36" i="40"/>
  <c r="C35" i="40"/>
  <c r="F35" i="40" s="1"/>
  <c r="G35" i="40" s="1"/>
  <c r="A39" i="26"/>
  <c r="B39" i="26" s="1"/>
  <c r="A38" i="40"/>
  <c r="D37" i="40"/>
  <c r="E37" i="40"/>
  <c r="A37" i="35"/>
  <c r="B37" i="35" s="1"/>
  <c r="D36" i="35"/>
  <c r="E36" i="35"/>
  <c r="C35" i="35"/>
  <c r="F35" i="35" l="1"/>
  <c r="G35" i="35" s="1"/>
  <c r="B37" i="40"/>
  <c r="C36" i="40"/>
  <c r="F36" i="40" s="1"/>
  <c r="G36" i="40" s="1"/>
  <c r="A40" i="26"/>
  <c r="B40" i="26" s="1"/>
  <c r="A39" i="40"/>
  <c r="D38" i="40"/>
  <c r="E38" i="40"/>
  <c r="C36" i="35"/>
  <c r="A38" i="35"/>
  <c r="B38" i="35" s="1"/>
  <c r="D37" i="35"/>
  <c r="E37" i="35"/>
  <c r="F36" i="35" l="1"/>
  <c r="G36" i="35" s="1"/>
  <c r="B38" i="40"/>
  <c r="C37" i="40"/>
  <c r="F37" i="40" s="1"/>
  <c r="G37" i="40" s="1"/>
  <c r="A41" i="26"/>
  <c r="B41" i="26" s="1"/>
  <c r="E39" i="40"/>
  <c r="A40" i="40"/>
  <c r="D39" i="40"/>
  <c r="C37" i="35"/>
  <c r="D38" i="35"/>
  <c r="E38" i="35"/>
  <c r="A39" i="35"/>
  <c r="B39" i="35" s="1"/>
  <c r="F37" i="35" l="1"/>
  <c r="G37" i="35" s="1"/>
  <c r="B39" i="40"/>
  <c r="C38" i="40"/>
  <c r="F38" i="40" s="1"/>
  <c r="G38" i="40" s="1"/>
  <c r="A42" i="26"/>
  <c r="B42" i="26" s="1"/>
  <c r="A41" i="40"/>
  <c r="D40" i="40"/>
  <c r="E40" i="40"/>
  <c r="A40" i="35"/>
  <c r="D39" i="35"/>
  <c r="E39" i="35"/>
  <c r="C38" i="35"/>
  <c r="F38" i="35" l="1"/>
  <c r="G38" i="35" s="1"/>
  <c r="B40" i="40"/>
  <c r="C39" i="40"/>
  <c r="F39" i="40" s="1"/>
  <c r="G39" i="40" s="1"/>
  <c r="A43" i="26"/>
  <c r="B43" i="26" s="1"/>
  <c r="A42" i="40"/>
  <c r="D41" i="40"/>
  <c r="E41" i="40"/>
  <c r="A41" i="35"/>
  <c r="D40" i="35"/>
  <c r="E40" i="35"/>
  <c r="C39" i="35"/>
  <c r="B41" i="35" l="1"/>
  <c r="F41" i="35"/>
  <c r="F39" i="35"/>
  <c r="G39" i="35" s="1"/>
  <c r="B41" i="40"/>
  <c r="C40" i="40"/>
  <c r="F40" i="40" s="1"/>
  <c r="G40" i="40" s="1"/>
  <c r="A44" i="26"/>
  <c r="B44" i="26" s="1"/>
  <c r="A43" i="40"/>
  <c r="D42" i="40"/>
  <c r="E42" i="40"/>
  <c r="C40" i="35"/>
  <c r="A42" i="35"/>
  <c r="D41" i="35"/>
  <c r="E41" i="35"/>
  <c r="B42" i="35" l="1"/>
  <c r="F42" i="35"/>
  <c r="F40" i="35"/>
  <c r="B42" i="40"/>
  <c r="C41" i="40"/>
  <c r="F41" i="40" s="1"/>
  <c r="G41" i="40" s="1"/>
  <c r="A45" i="26"/>
  <c r="B45" i="26" s="1"/>
  <c r="E43" i="40"/>
  <c r="A44" i="40"/>
  <c r="D43" i="40"/>
  <c r="A43" i="35"/>
  <c r="E42" i="35"/>
  <c r="D42" i="35"/>
  <c r="C41" i="35"/>
  <c r="G41" i="35" s="1"/>
  <c r="B43" i="35" l="1"/>
  <c r="F43" i="35"/>
  <c r="G40" i="35"/>
  <c r="B43" i="40"/>
  <c r="C42" i="40"/>
  <c r="F42" i="40" s="1"/>
  <c r="G42" i="40" s="1"/>
  <c r="A46" i="26"/>
  <c r="B46" i="26" s="1"/>
  <c r="A45" i="40"/>
  <c r="D44" i="40"/>
  <c r="E44" i="40"/>
  <c r="E43" i="35"/>
  <c r="A44" i="35"/>
  <c r="D43" i="35"/>
  <c r="C42" i="35"/>
  <c r="G42" i="35" s="1"/>
  <c r="B44" i="35" l="1"/>
  <c r="F44" i="35"/>
  <c r="B44" i="40"/>
  <c r="C43" i="40"/>
  <c r="F43" i="40" s="1"/>
  <c r="G43" i="40" s="1"/>
  <c r="A47" i="26"/>
  <c r="B47" i="26" s="1"/>
  <c r="A46" i="40"/>
  <c r="D45" i="40"/>
  <c r="E45" i="40"/>
  <c r="A45" i="35"/>
  <c r="D44" i="35"/>
  <c r="E44" i="35"/>
  <c r="C43" i="35"/>
  <c r="G43" i="35" s="1"/>
  <c r="B45" i="35" l="1"/>
  <c r="F45" i="35"/>
  <c r="B45" i="40"/>
  <c r="C44" i="40"/>
  <c r="F44" i="40" s="1"/>
  <c r="G44" i="40" s="1"/>
  <c r="A48" i="26"/>
  <c r="A47" i="40"/>
  <c r="B47" i="40" s="1"/>
  <c r="D46" i="40"/>
  <c r="E46" i="40"/>
  <c r="A46" i="35"/>
  <c r="D45" i="35"/>
  <c r="E45" i="35"/>
  <c r="C44" i="35"/>
  <c r="G44" i="35" s="1"/>
  <c r="B46" i="35" l="1"/>
  <c r="F46" i="35"/>
  <c r="B46" i="40"/>
  <c r="C46" i="40" s="1"/>
  <c r="F46" i="40" s="1"/>
  <c r="G46" i="40" s="1"/>
  <c r="C45" i="40"/>
  <c r="F45" i="40" s="1"/>
  <c r="G45" i="40" s="1"/>
  <c r="F48" i="26"/>
  <c r="E48" i="26"/>
  <c r="D48" i="26"/>
  <c r="C48" i="26"/>
  <c r="A49" i="26"/>
  <c r="B48" i="26"/>
  <c r="E47" i="40"/>
  <c r="F47" i="40"/>
  <c r="G47" i="40"/>
  <c r="C47" i="40"/>
  <c r="A48" i="40"/>
  <c r="B48" i="40" s="1"/>
  <c r="D47" i="40"/>
  <c r="E46" i="35"/>
  <c r="A47" i="35"/>
  <c r="D46" i="35"/>
  <c r="C45" i="35"/>
  <c r="G45" i="35" s="1"/>
  <c r="B47" i="35" l="1"/>
  <c r="F47" i="35"/>
  <c r="C49" i="26"/>
  <c r="F49" i="26"/>
  <c r="E49" i="26"/>
  <c r="D49" i="26"/>
  <c r="A50" i="26"/>
  <c r="B49" i="26"/>
  <c r="F48" i="40"/>
  <c r="G48" i="40"/>
  <c r="C48" i="40"/>
  <c r="A49" i="40"/>
  <c r="B49" i="40" s="1"/>
  <c r="D48" i="40"/>
  <c r="E48" i="40"/>
  <c r="C46" i="35"/>
  <c r="E47" i="35"/>
  <c r="G47" i="35"/>
  <c r="C47" i="35"/>
  <c r="A48" i="35"/>
  <c r="D47" i="35"/>
  <c r="B48" i="35" l="1"/>
  <c r="F48" i="35"/>
  <c r="C50" i="26"/>
  <c r="F50" i="26"/>
  <c r="E50" i="26"/>
  <c r="D50" i="26"/>
  <c r="A51" i="26"/>
  <c r="B50" i="26"/>
  <c r="G49" i="40"/>
  <c r="C49" i="40"/>
  <c r="A50" i="40"/>
  <c r="B50" i="40" s="1"/>
  <c r="D49" i="40"/>
  <c r="E49" i="40"/>
  <c r="F49" i="40"/>
  <c r="G46" i="35"/>
  <c r="G48" i="35"/>
  <c r="C48" i="35"/>
  <c r="A49" i="35"/>
  <c r="D48" i="35"/>
  <c r="E48" i="35"/>
  <c r="B49" i="35" l="1"/>
  <c r="F49" i="35"/>
  <c r="F51" i="26"/>
  <c r="E51" i="26"/>
  <c r="D51" i="26"/>
  <c r="C51" i="26"/>
  <c r="B51" i="26"/>
  <c r="A52" i="26"/>
  <c r="A51" i="40"/>
  <c r="B51" i="40" s="1"/>
  <c r="D50" i="40"/>
  <c r="E50" i="40"/>
  <c r="F50" i="40"/>
  <c r="G50" i="40"/>
  <c r="C50" i="40"/>
  <c r="A50" i="35"/>
  <c r="D49" i="35"/>
  <c r="E49" i="35"/>
  <c r="G49" i="35"/>
  <c r="C49" i="35"/>
  <c r="B50" i="35" l="1"/>
  <c r="F50" i="35"/>
  <c r="F52" i="26"/>
  <c r="E52" i="26"/>
  <c r="D52" i="26"/>
  <c r="C52" i="26"/>
  <c r="B52" i="26"/>
  <c r="A53" i="26"/>
  <c r="E51" i="40"/>
  <c r="F51" i="40"/>
  <c r="G51" i="40"/>
  <c r="C51" i="40"/>
  <c r="A52" i="40"/>
  <c r="B52" i="40" s="1"/>
  <c r="D51" i="40"/>
  <c r="D50" i="35"/>
  <c r="E50" i="35"/>
  <c r="A51" i="35"/>
  <c r="G50" i="35"/>
  <c r="C50" i="35"/>
  <c r="B51" i="35" l="1"/>
  <c r="F51" i="35"/>
  <c r="C53" i="26"/>
  <c r="F53" i="26"/>
  <c r="E53" i="26"/>
  <c r="D53" i="26"/>
  <c r="A54" i="26"/>
  <c r="B53" i="26"/>
  <c r="F52" i="40"/>
  <c r="G52" i="40"/>
  <c r="C52" i="40"/>
  <c r="A53" i="40"/>
  <c r="B53" i="40" s="1"/>
  <c r="D52" i="40"/>
  <c r="E52" i="40"/>
  <c r="G51" i="35"/>
  <c r="C51" i="35"/>
  <c r="E51" i="35"/>
  <c r="A52" i="35"/>
  <c r="D51" i="35"/>
  <c r="B52" i="35" l="1"/>
  <c r="F52" i="35"/>
  <c r="C54" i="26"/>
  <c r="F54" i="26"/>
  <c r="E54" i="26"/>
  <c r="D54" i="26"/>
  <c r="A55" i="26"/>
  <c r="B54" i="26"/>
  <c r="G53" i="40"/>
  <c r="C53" i="40"/>
  <c r="A54" i="40"/>
  <c r="B54" i="40" s="1"/>
  <c r="D53" i="40"/>
  <c r="E53" i="40"/>
  <c r="F53" i="40"/>
  <c r="G52" i="35"/>
  <c r="C52" i="35"/>
  <c r="A53" i="35"/>
  <c r="D52" i="35"/>
  <c r="E52" i="35"/>
  <c r="B53" i="35" l="1"/>
  <c r="F53" i="35"/>
  <c r="F55" i="26"/>
  <c r="E55" i="26"/>
  <c r="D55" i="26"/>
  <c r="C55" i="26"/>
  <c r="A56" i="26"/>
  <c r="B55" i="26"/>
  <c r="A55" i="40"/>
  <c r="B55" i="40" s="1"/>
  <c r="D54" i="40"/>
  <c r="E54" i="40"/>
  <c r="F54" i="40"/>
  <c r="G54" i="40"/>
  <c r="C54" i="40"/>
  <c r="C53" i="35"/>
  <c r="A54" i="35"/>
  <c r="D53" i="35"/>
  <c r="E53" i="35"/>
  <c r="G53" i="35"/>
  <c r="B54" i="35" l="1"/>
  <c r="F54" i="35"/>
  <c r="F56" i="26"/>
  <c r="E56" i="26"/>
  <c r="D56" i="26"/>
  <c r="C56" i="26"/>
  <c r="B56" i="26"/>
  <c r="A57" i="26"/>
  <c r="E55" i="40"/>
  <c r="F55" i="40"/>
  <c r="G55" i="40"/>
  <c r="C55" i="40"/>
  <c r="A56" i="40"/>
  <c r="B56" i="40" s="1"/>
  <c r="D55" i="40"/>
  <c r="E54" i="35"/>
  <c r="A55" i="35"/>
  <c r="D54" i="35"/>
  <c r="G54" i="35"/>
  <c r="C54" i="35"/>
  <c r="B55" i="35" l="1"/>
  <c r="F55" i="35"/>
  <c r="C57" i="26"/>
  <c r="F57" i="26"/>
  <c r="E57" i="26"/>
  <c r="D57" i="26"/>
  <c r="A58" i="26"/>
  <c r="B57" i="26"/>
  <c r="F56" i="40"/>
  <c r="G56" i="40"/>
  <c r="C56" i="40"/>
  <c r="A57" i="40"/>
  <c r="B57" i="40" s="1"/>
  <c r="D56" i="40"/>
  <c r="E56" i="40"/>
  <c r="E55" i="35"/>
  <c r="G55" i="35"/>
  <c r="C55" i="35"/>
  <c r="A56" i="35"/>
  <c r="D55" i="35"/>
  <c r="B56" i="35" l="1"/>
  <c r="F56" i="35"/>
  <c r="C58" i="26"/>
  <c r="F58" i="26"/>
  <c r="E58" i="26"/>
  <c r="D58" i="26"/>
  <c r="A59" i="26"/>
  <c r="B58" i="26"/>
  <c r="G57" i="40"/>
  <c r="C57" i="40"/>
  <c r="A58" i="40"/>
  <c r="B58" i="40" s="1"/>
  <c r="D57" i="40"/>
  <c r="E57" i="40"/>
  <c r="F57" i="40"/>
  <c r="G56" i="35"/>
  <c r="C56" i="35"/>
  <c r="A57" i="35"/>
  <c r="D56" i="35"/>
  <c r="E56" i="35"/>
  <c r="B57" i="35" l="1"/>
  <c r="F57" i="35"/>
  <c r="F59" i="26"/>
  <c r="E59" i="26"/>
  <c r="D59" i="26"/>
  <c r="C59" i="26"/>
  <c r="A60" i="26"/>
  <c r="B59" i="26"/>
  <c r="A59" i="40"/>
  <c r="B59" i="40" s="1"/>
  <c r="D58" i="40"/>
  <c r="E58" i="40"/>
  <c r="F58" i="40"/>
  <c r="G58" i="40"/>
  <c r="C58" i="40"/>
  <c r="A58" i="35"/>
  <c r="D57" i="35"/>
  <c r="E57" i="35"/>
  <c r="G57" i="35"/>
  <c r="C57" i="35"/>
  <c r="B58" i="35" l="1"/>
  <c r="F58" i="35"/>
  <c r="F60" i="26"/>
  <c r="E60" i="26"/>
  <c r="D60" i="26"/>
  <c r="C60" i="26"/>
  <c r="A61" i="26"/>
  <c r="B60" i="26"/>
  <c r="E59" i="40"/>
  <c r="F59" i="40"/>
  <c r="G59" i="40"/>
  <c r="C59" i="40"/>
  <c r="A60" i="40"/>
  <c r="B60" i="40" s="1"/>
  <c r="D59" i="40"/>
  <c r="D58" i="35"/>
  <c r="E58" i="35"/>
  <c r="A59" i="35"/>
  <c r="G58" i="35"/>
  <c r="C58" i="35"/>
  <c r="B59" i="35" l="1"/>
  <c r="F59" i="35"/>
  <c r="C61" i="26"/>
  <c r="F61" i="26"/>
  <c r="E61" i="26"/>
  <c r="D61" i="26"/>
  <c r="B61" i="26"/>
  <c r="A62" i="26"/>
  <c r="F60" i="40"/>
  <c r="G60" i="40"/>
  <c r="C60" i="40"/>
  <c r="A61" i="40"/>
  <c r="B61" i="40" s="1"/>
  <c r="D60" i="40"/>
  <c r="E60" i="40"/>
  <c r="E59" i="35"/>
  <c r="G59" i="35"/>
  <c r="C59" i="35"/>
  <c r="A60" i="35"/>
  <c r="D59" i="35"/>
  <c r="B60" i="35" l="1"/>
  <c r="F60" i="35"/>
  <c r="C62" i="26"/>
  <c r="F62" i="26"/>
  <c r="E62" i="26"/>
  <c r="D62" i="26"/>
  <c r="A63" i="26"/>
  <c r="B62" i="26"/>
  <c r="G61" i="40"/>
  <c r="C61" i="40"/>
  <c r="A62" i="40"/>
  <c r="B62" i="40" s="1"/>
  <c r="D61" i="40"/>
  <c r="E61" i="40"/>
  <c r="F61" i="40"/>
  <c r="G60" i="35"/>
  <c r="C60" i="35"/>
  <c r="A61" i="35"/>
  <c r="D60" i="35"/>
  <c r="E60" i="35"/>
  <c r="B61" i="35" l="1"/>
  <c r="F61" i="35"/>
  <c r="F63" i="26"/>
  <c r="E63" i="26"/>
  <c r="D63" i="26"/>
  <c r="C63" i="26"/>
  <c r="A64" i="26"/>
  <c r="B63" i="26"/>
  <c r="A63" i="40"/>
  <c r="B63" i="40" s="1"/>
  <c r="D62" i="40"/>
  <c r="E62" i="40"/>
  <c r="F62" i="40"/>
  <c r="G62" i="40"/>
  <c r="C62" i="40"/>
  <c r="G61" i="35"/>
  <c r="C61" i="35"/>
  <c r="A62" i="35"/>
  <c r="D61" i="35"/>
  <c r="E61" i="35"/>
  <c r="B62" i="35" l="1"/>
  <c r="F62" i="35"/>
  <c r="F64" i="26"/>
  <c r="E64" i="26"/>
  <c r="D64" i="26"/>
  <c r="C64" i="26"/>
  <c r="B64" i="26"/>
  <c r="A65" i="26"/>
  <c r="E63" i="40"/>
  <c r="F63" i="40"/>
  <c r="G63" i="40"/>
  <c r="C63" i="40"/>
  <c r="A64" i="40"/>
  <c r="B64" i="40" s="1"/>
  <c r="D63" i="40"/>
  <c r="D62" i="35"/>
  <c r="E62" i="35"/>
  <c r="A63" i="35"/>
  <c r="G62" i="35"/>
  <c r="C62" i="35"/>
  <c r="B63" i="35" l="1"/>
  <c r="F63" i="35"/>
  <c r="C65" i="26"/>
  <c r="F65" i="26"/>
  <c r="E65" i="26"/>
  <c r="D65" i="26"/>
  <c r="B65" i="26"/>
  <c r="A66" i="26"/>
  <c r="F64" i="40"/>
  <c r="G64" i="40"/>
  <c r="C64" i="40"/>
  <c r="A65" i="40"/>
  <c r="B65" i="40" s="1"/>
  <c r="D64" i="40"/>
  <c r="E64" i="40"/>
  <c r="E63" i="35"/>
  <c r="G63" i="35"/>
  <c r="C63" i="35"/>
  <c r="A64" i="35"/>
  <c r="D63" i="35"/>
  <c r="B64" i="35" l="1"/>
  <c r="F64" i="35"/>
  <c r="C66" i="26"/>
  <c r="F66" i="26"/>
  <c r="E66" i="26"/>
  <c r="D66" i="26"/>
  <c r="B66" i="26"/>
  <c r="A67" i="26"/>
  <c r="G65" i="40"/>
  <c r="C65" i="40"/>
  <c r="A66" i="40"/>
  <c r="B66" i="40" s="1"/>
  <c r="D65" i="40"/>
  <c r="E65" i="40"/>
  <c r="F65" i="40"/>
  <c r="G64" i="35"/>
  <c r="C64" i="35"/>
  <c r="A65" i="35"/>
  <c r="D64" i="35"/>
  <c r="E64" i="35"/>
  <c r="B65" i="35" l="1"/>
  <c r="F65" i="35"/>
  <c r="F67" i="26"/>
  <c r="E67" i="26"/>
  <c r="D67" i="26"/>
  <c r="C67" i="26"/>
  <c r="A68" i="26"/>
  <c r="B67" i="26"/>
  <c r="A67" i="40"/>
  <c r="B67" i="40" s="1"/>
  <c r="D66" i="40"/>
  <c r="E66" i="40"/>
  <c r="F66" i="40"/>
  <c r="G66" i="40"/>
  <c r="C66" i="40"/>
  <c r="G65" i="35"/>
  <c r="C65" i="35"/>
  <c r="A66" i="35"/>
  <c r="D65" i="35"/>
  <c r="E65" i="35"/>
  <c r="B66" i="35" l="1"/>
  <c r="F66" i="35"/>
  <c r="F68" i="26"/>
  <c r="E68" i="26"/>
  <c r="D68" i="26"/>
  <c r="C68" i="26"/>
  <c r="B68" i="26"/>
  <c r="A69" i="26"/>
  <c r="E67" i="40"/>
  <c r="F67" i="40"/>
  <c r="G67" i="40"/>
  <c r="C67" i="40"/>
  <c r="A68" i="40"/>
  <c r="B68" i="40" s="1"/>
  <c r="D67" i="40"/>
  <c r="A67" i="35"/>
  <c r="D66" i="35"/>
  <c r="E66" i="35"/>
  <c r="G66" i="35"/>
  <c r="C66" i="35"/>
  <c r="B67" i="35" l="1"/>
  <c r="F67" i="35"/>
  <c r="C69" i="26"/>
  <c r="F69" i="26"/>
  <c r="E69" i="26"/>
  <c r="D69" i="26"/>
  <c r="B69" i="26"/>
  <c r="A70" i="26"/>
  <c r="F68" i="40"/>
  <c r="G68" i="40"/>
  <c r="C68" i="40"/>
  <c r="A69" i="40"/>
  <c r="B69" i="40" s="1"/>
  <c r="D68" i="40"/>
  <c r="E68" i="40"/>
  <c r="E67" i="35"/>
  <c r="G67" i="35"/>
  <c r="C67" i="35"/>
  <c r="A68" i="35"/>
  <c r="D67" i="35"/>
  <c r="B68" i="35" l="1"/>
  <c r="F68" i="35"/>
  <c r="C70" i="26"/>
  <c r="F70" i="26"/>
  <c r="E70" i="26"/>
  <c r="D70" i="26"/>
  <c r="B70" i="26"/>
  <c r="A71" i="26"/>
  <c r="G69" i="40"/>
  <c r="C69" i="40"/>
  <c r="A70" i="40"/>
  <c r="B70" i="40" s="1"/>
  <c r="D69" i="40"/>
  <c r="E69" i="40"/>
  <c r="F69" i="40"/>
  <c r="G68" i="35"/>
  <c r="C68" i="35"/>
  <c r="A69" i="35"/>
  <c r="D68" i="35"/>
  <c r="E68" i="35"/>
  <c r="B69" i="35" l="1"/>
  <c r="F69" i="35"/>
  <c r="B71" i="26"/>
  <c r="F71" i="26"/>
  <c r="E71" i="26"/>
  <c r="D71" i="26"/>
  <c r="C71" i="26"/>
  <c r="D70" i="40"/>
  <c r="E70" i="40"/>
  <c r="F70" i="40"/>
  <c r="F7" i="40" s="1"/>
  <c r="G70" i="40"/>
  <c r="C70" i="40"/>
  <c r="G69" i="35"/>
  <c r="C69" i="35"/>
  <c r="A70" i="35"/>
  <c r="D69" i="35"/>
  <c r="E69" i="35"/>
  <c r="B70" i="35" l="1"/>
  <c r="F70" i="35"/>
  <c r="F9" i="35" s="1"/>
  <c r="F8" i="40"/>
  <c r="G8" i="40" s="1"/>
  <c r="G7" i="40"/>
  <c r="D70" i="35"/>
  <c r="E70" i="35"/>
  <c r="E9" i="35" s="1"/>
  <c r="G70" i="35"/>
  <c r="G9" i="35" s="1"/>
  <c r="C70" i="35"/>
  <c r="G6" i="35" l="1"/>
  <c r="G7" i="35" s="1"/>
  <c r="A12" i="31" l="1"/>
  <c r="F12" i="31" s="1"/>
  <c r="F11" i="31"/>
  <c r="G11" i="31" s="1"/>
  <c r="E11" i="31"/>
  <c r="D11" i="31"/>
  <c r="D12" i="31" l="1"/>
  <c r="A13" i="31"/>
  <c r="E12" i="31"/>
  <c r="G12" i="31" s="1"/>
  <c r="B12" i="31"/>
  <c r="C12" i="31" s="1"/>
  <c r="A14" i="31" l="1"/>
  <c r="F13" i="31"/>
  <c r="D13" i="31"/>
  <c r="E13" i="31"/>
  <c r="B13" i="31"/>
  <c r="C13" i="31" s="1"/>
  <c r="G13" i="31" l="1"/>
  <c r="A15" i="31"/>
  <c r="D14" i="31"/>
  <c r="E14" i="31"/>
  <c r="F14" i="31"/>
  <c r="B14" i="31"/>
  <c r="C14" i="31" s="1"/>
  <c r="G14" i="31" l="1"/>
  <c r="E15" i="31"/>
  <c r="F15" i="31"/>
  <c r="G15" i="31" s="1"/>
  <c r="A16" i="31"/>
  <c r="B15" i="31"/>
  <c r="C15" i="31" s="1"/>
  <c r="D15" i="31"/>
  <c r="F16" i="31" l="1"/>
  <c r="B16" i="31"/>
  <c r="C16" i="31" s="1"/>
  <c r="A17" i="31"/>
  <c r="D16" i="31"/>
  <c r="E16" i="31"/>
  <c r="G16" i="31" s="1"/>
  <c r="A18" i="31" l="1"/>
  <c r="B17" i="31"/>
  <c r="C17" i="31" s="1"/>
  <c r="D17" i="31"/>
  <c r="E17" i="31"/>
  <c r="F17" i="31"/>
  <c r="G17" i="31" l="1"/>
  <c r="A19" i="31"/>
  <c r="D18" i="31"/>
  <c r="E18" i="31"/>
  <c r="F18" i="31"/>
  <c r="B18" i="31"/>
  <c r="C18" i="31" s="1"/>
  <c r="G18" i="31" l="1"/>
  <c r="E19" i="31"/>
  <c r="B19" i="31"/>
  <c r="C19" i="31" s="1"/>
  <c r="A20" i="31"/>
  <c r="F19" i="31"/>
  <c r="D19" i="31"/>
  <c r="G19" i="31" l="1"/>
  <c r="F20" i="31"/>
  <c r="B20" i="31"/>
  <c r="C20" i="31" s="1"/>
  <c r="A21" i="31"/>
  <c r="D20" i="31"/>
  <c r="E20" i="31"/>
  <c r="G20" i="31" l="1"/>
  <c r="D21" i="31"/>
  <c r="B21" i="31"/>
  <c r="C21" i="31" s="1"/>
  <c r="A22" i="31"/>
  <c r="E21" i="31"/>
  <c r="F21" i="31"/>
  <c r="G21" i="31" l="1"/>
  <c r="A23" i="31"/>
  <c r="D22" i="31"/>
  <c r="E22" i="31"/>
  <c r="F22" i="31"/>
  <c r="B22" i="31"/>
  <c r="C22" i="31" s="1"/>
  <c r="G22" i="31" l="1"/>
  <c r="E23" i="31"/>
  <c r="D23" i="31"/>
  <c r="F23" i="31"/>
  <c r="G23" i="31" s="1"/>
  <c r="B23" i="31"/>
  <c r="C23" i="31" s="1"/>
  <c r="A24" i="31"/>
  <c r="F24" i="31" l="1"/>
  <c r="B24" i="31"/>
  <c r="C24" i="31" s="1"/>
  <c r="A25" i="31"/>
  <c r="D24" i="31"/>
  <c r="E24" i="31"/>
  <c r="G24" i="31" s="1"/>
  <c r="B25" i="31" l="1"/>
  <c r="C25" i="31" s="1"/>
  <c r="A26" i="31"/>
  <c r="D25" i="31"/>
  <c r="E25" i="31"/>
  <c r="F25" i="31"/>
  <c r="G25" i="31" l="1"/>
  <c r="A27" i="31"/>
  <c r="D26" i="31"/>
  <c r="E26" i="31"/>
  <c r="F26" i="31"/>
  <c r="B26" i="31"/>
  <c r="C26" i="31" s="1"/>
  <c r="G26" i="31" l="1"/>
  <c r="E27" i="31"/>
  <c r="D27" i="31"/>
  <c r="F27" i="31"/>
  <c r="B27" i="31"/>
  <c r="C27" i="31" s="1"/>
  <c r="A28" i="31"/>
  <c r="G27" i="31" l="1"/>
  <c r="F28" i="31"/>
  <c r="B28" i="31"/>
  <c r="C28" i="31" s="1"/>
  <c r="A29" i="31"/>
  <c r="D28" i="31"/>
  <c r="E28" i="31"/>
  <c r="G28" i="31" l="1"/>
  <c r="A30" i="31"/>
  <c r="D29" i="31"/>
  <c r="E29" i="31"/>
  <c r="F29" i="31"/>
  <c r="B29" i="31"/>
  <c r="C29" i="31" s="1"/>
  <c r="G29" i="31" l="1"/>
  <c r="A31" i="31"/>
  <c r="D30" i="31"/>
  <c r="E30" i="31"/>
  <c r="F30" i="31"/>
  <c r="B30" i="31"/>
  <c r="C30" i="31" s="1"/>
  <c r="G30" i="31" l="1"/>
  <c r="E31" i="31"/>
  <c r="F31" i="31"/>
  <c r="B31" i="31"/>
  <c r="C31" i="31" s="1"/>
  <c r="A32" i="31"/>
  <c r="D31" i="31"/>
  <c r="G31" i="31" l="1"/>
  <c r="F32" i="31"/>
  <c r="B32" i="31"/>
  <c r="C32" i="31" s="1"/>
  <c r="A33" i="31"/>
  <c r="D32" i="31"/>
  <c r="E32" i="31"/>
  <c r="G32" i="31" s="1"/>
  <c r="A34" i="31" l="1"/>
  <c r="D33" i="31"/>
  <c r="E33" i="31"/>
  <c r="G33" i="31" s="1"/>
  <c r="F33" i="31"/>
  <c r="B33" i="31"/>
  <c r="C33" i="31" s="1"/>
  <c r="A35" i="31" l="1"/>
  <c r="D34" i="31"/>
  <c r="E34" i="31"/>
  <c r="F34" i="31"/>
  <c r="B34" i="31"/>
  <c r="C34" i="31" s="1"/>
  <c r="G34" i="31" l="1"/>
  <c r="E35" i="31"/>
  <c r="F35" i="31"/>
  <c r="G35" i="31" s="1"/>
  <c r="B35" i="31"/>
  <c r="C35" i="31" s="1"/>
  <c r="A36" i="31"/>
  <c r="D35" i="31"/>
  <c r="F36" i="31" l="1"/>
  <c r="B36" i="31"/>
  <c r="C36" i="31" s="1"/>
  <c r="A37" i="31"/>
  <c r="D36" i="31"/>
  <c r="E36" i="31"/>
  <c r="G36" i="31" s="1"/>
  <c r="A38" i="31" l="1"/>
  <c r="D37" i="31"/>
  <c r="E37" i="31"/>
  <c r="F37" i="31"/>
  <c r="B37" i="31"/>
  <c r="C37" i="31" s="1"/>
  <c r="G37" i="31" l="1"/>
  <c r="A39" i="31"/>
  <c r="D38" i="31"/>
  <c r="E38" i="31"/>
  <c r="F38" i="31"/>
  <c r="B38" i="31"/>
  <c r="C38" i="31" s="1"/>
  <c r="G38" i="31" l="1"/>
  <c r="E39" i="31"/>
  <c r="F39" i="31"/>
  <c r="B39" i="31"/>
  <c r="C39" i="31" s="1"/>
  <c r="A40" i="31"/>
  <c r="D39" i="31"/>
  <c r="G39" i="31" l="1"/>
  <c r="F40" i="31"/>
  <c r="B40" i="31"/>
  <c r="C40" i="31" s="1"/>
  <c r="A41" i="31"/>
  <c r="D40" i="31"/>
  <c r="E40" i="31"/>
  <c r="G40" i="31" s="1"/>
  <c r="A42" i="31" l="1"/>
  <c r="D41" i="31"/>
  <c r="E41" i="31"/>
  <c r="F41" i="31"/>
  <c r="B41" i="31"/>
  <c r="C41" i="31" s="1"/>
  <c r="G41" i="31" l="1"/>
  <c r="A43" i="31"/>
  <c r="D42" i="31"/>
  <c r="E42" i="31"/>
  <c r="F42" i="31"/>
  <c r="B42" i="31"/>
  <c r="C42" i="31" s="1"/>
  <c r="G42" i="31" l="1"/>
  <c r="E43" i="31"/>
  <c r="F43" i="31"/>
  <c r="B43" i="31"/>
  <c r="C43" i="31" s="1"/>
  <c r="A44" i="31"/>
  <c r="D43" i="31"/>
  <c r="G43" i="31" l="1"/>
  <c r="F44" i="31"/>
  <c r="B44" i="31"/>
  <c r="C44" i="31" s="1"/>
  <c r="A45" i="31"/>
  <c r="D44" i="31"/>
  <c r="E44" i="31"/>
  <c r="G44" i="31" l="1"/>
  <c r="A46" i="31"/>
  <c r="D45" i="31"/>
  <c r="E45" i="31"/>
  <c r="F45" i="31"/>
  <c r="B45" i="31"/>
  <c r="C45" i="31" s="1"/>
  <c r="G45" i="31" l="1"/>
  <c r="A47" i="31"/>
  <c r="D46" i="31"/>
  <c r="E46" i="31"/>
  <c r="F46" i="31"/>
  <c r="B46" i="31"/>
  <c r="C46" i="31" s="1"/>
  <c r="G46" i="31" l="1"/>
  <c r="E47" i="31"/>
  <c r="F47" i="31"/>
  <c r="B47" i="31"/>
  <c r="G47" i="31"/>
  <c r="C47" i="31"/>
  <c r="A48" i="31"/>
  <c r="D47" i="31"/>
  <c r="F48" i="31" l="1"/>
  <c r="B48" i="31"/>
  <c r="G48" i="31"/>
  <c r="C48" i="31"/>
  <c r="A49" i="31"/>
  <c r="D48" i="31"/>
  <c r="E48" i="31"/>
  <c r="G49" i="31" l="1"/>
  <c r="C49" i="31"/>
  <c r="A50" i="31"/>
  <c r="D49" i="31"/>
  <c r="E49" i="31"/>
  <c r="F49" i="31"/>
  <c r="B49" i="31"/>
  <c r="A51" i="31" l="1"/>
  <c r="D50" i="31"/>
  <c r="E50" i="31"/>
  <c r="F50" i="31"/>
  <c r="B50" i="31"/>
  <c r="G50" i="31"/>
  <c r="C50" i="31"/>
  <c r="E51" i="31" l="1"/>
  <c r="F51" i="31"/>
  <c r="B51" i="31"/>
  <c r="G51" i="31"/>
  <c r="C51" i="31"/>
  <c r="A52" i="31"/>
  <c r="D51" i="31"/>
  <c r="F52" i="31" l="1"/>
  <c r="B52" i="31"/>
  <c r="G52" i="31"/>
  <c r="C52" i="31"/>
  <c r="A53" i="31"/>
  <c r="D52" i="31"/>
  <c r="E52" i="31"/>
  <c r="G53" i="31" l="1"/>
  <c r="C53" i="31"/>
  <c r="A54" i="31"/>
  <c r="D53" i="31"/>
  <c r="E53" i="31"/>
  <c r="F53" i="31"/>
  <c r="B53" i="31"/>
  <c r="A55" i="31" l="1"/>
  <c r="D54" i="31"/>
  <c r="E54" i="31"/>
  <c r="F54" i="31"/>
  <c r="B54" i="31"/>
  <c r="G54" i="31"/>
  <c r="C54" i="31"/>
  <c r="E55" i="31" l="1"/>
  <c r="F55" i="31"/>
  <c r="B55" i="31"/>
  <c r="G55" i="31"/>
  <c r="C55" i="31"/>
  <c r="A56" i="31"/>
  <c r="D55" i="31"/>
  <c r="F56" i="31" l="1"/>
  <c r="B56" i="31"/>
  <c r="G56" i="31"/>
  <c r="C56" i="31"/>
  <c r="A57" i="31"/>
  <c r="D56" i="31"/>
  <c r="E56" i="31"/>
  <c r="G57" i="31" l="1"/>
  <c r="C57" i="31"/>
  <c r="A58" i="31"/>
  <c r="D57" i="31"/>
  <c r="E57" i="31"/>
  <c r="F57" i="31"/>
  <c r="B57" i="31"/>
  <c r="A59" i="31" l="1"/>
  <c r="D58" i="31"/>
  <c r="E58" i="31"/>
  <c r="F58" i="31"/>
  <c r="B58" i="31"/>
  <c r="G58" i="31"/>
  <c r="C58" i="31"/>
  <c r="E59" i="31" l="1"/>
  <c r="F59" i="31"/>
  <c r="B59" i="31"/>
  <c r="G59" i="31"/>
  <c r="C59" i="31"/>
  <c r="A60" i="31"/>
  <c r="D59" i="31"/>
  <c r="F60" i="31" l="1"/>
  <c r="B60" i="31"/>
  <c r="G60" i="31"/>
  <c r="C60" i="31"/>
  <c r="A61" i="31"/>
  <c r="D60" i="31"/>
  <c r="E60" i="31"/>
  <c r="G61" i="31" l="1"/>
  <c r="C61" i="31"/>
  <c r="A62" i="31"/>
  <c r="D61" i="31"/>
  <c r="E61" i="31"/>
  <c r="F61" i="31"/>
  <c r="B61" i="31"/>
  <c r="A63" i="31" l="1"/>
  <c r="D62" i="31"/>
  <c r="E62" i="31"/>
  <c r="F62" i="31"/>
  <c r="B62" i="31"/>
  <c r="G62" i="31"/>
  <c r="C62" i="31"/>
  <c r="E63" i="31" l="1"/>
  <c r="F63" i="31"/>
  <c r="B63" i="31"/>
  <c r="G63" i="31"/>
  <c r="C63" i="31"/>
  <c r="A64" i="31"/>
  <c r="D63" i="31"/>
  <c r="F64" i="31" l="1"/>
  <c r="B64" i="31"/>
  <c r="G64" i="31"/>
  <c r="C64" i="31"/>
  <c r="A65" i="31"/>
  <c r="D64" i="31"/>
  <c r="E64" i="31"/>
  <c r="G65" i="31" l="1"/>
  <c r="C65" i="31"/>
  <c r="A66" i="31"/>
  <c r="D65" i="31"/>
  <c r="E65" i="31"/>
  <c r="F65" i="31"/>
  <c r="B65" i="31"/>
  <c r="A67" i="31" l="1"/>
  <c r="D66" i="31"/>
  <c r="E66" i="31"/>
  <c r="F66" i="31"/>
  <c r="B66" i="31"/>
  <c r="G66" i="31"/>
  <c r="C66" i="31"/>
  <c r="E67" i="31" l="1"/>
  <c r="F67" i="31"/>
  <c r="B67" i="31"/>
  <c r="G67" i="31"/>
  <c r="C67" i="31"/>
  <c r="A68" i="31"/>
  <c r="D67" i="31"/>
  <c r="F68" i="31" l="1"/>
  <c r="B68" i="31"/>
  <c r="G68" i="31"/>
  <c r="C68" i="31"/>
  <c r="A69" i="31"/>
  <c r="D68" i="31"/>
  <c r="E68" i="31"/>
  <c r="G69" i="31" l="1"/>
  <c r="C69" i="31"/>
  <c r="A70" i="31"/>
  <c r="D69" i="31"/>
  <c r="E69" i="31"/>
  <c r="F69" i="31"/>
  <c r="B69" i="31"/>
  <c r="D70" i="31" l="1"/>
  <c r="E70" i="31"/>
  <c r="E9" i="31" s="1"/>
  <c r="F70" i="31"/>
  <c r="F9" i="31" s="1"/>
  <c r="B70" i="31"/>
  <c r="G70" i="31"/>
  <c r="G9" i="31" s="1"/>
  <c r="C70" i="31"/>
  <c r="F6" i="26" l="1"/>
  <c r="F5" i="26"/>
  <c r="F8" i="26" l="1"/>
  <c r="F18" i="26" s="1"/>
  <c r="D12" i="26"/>
  <c r="C13" i="26" s="1"/>
  <c r="D14" i="26"/>
  <c r="D13" i="26"/>
  <c r="F12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I4" i="26"/>
  <c r="F13" i="26"/>
  <c r="E13" i="26" s="1"/>
  <c r="I3" i="26"/>
  <c r="J3" i="26" s="1"/>
  <c r="F14" i="26" l="1"/>
  <c r="E14" i="26" s="1"/>
  <c r="C14" i="26"/>
  <c r="C15" i="26" s="1"/>
  <c r="C16" i="26" s="1"/>
  <c r="C17" i="26" s="1"/>
  <c r="C18" i="26" s="1"/>
  <c r="C19" i="26" s="1"/>
  <c r="C20" i="26" s="1"/>
  <c r="C21" i="26" s="1"/>
  <c r="C22" i="26" s="1"/>
  <c r="C23" i="26" s="1"/>
  <c r="C24" i="26" s="1"/>
  <c r="C25" i="26" s="1"/>
  <c r="C26" i="26" s="1"/>
  <c r="C27" i="26" s="1"/>
  <c r="C28" i="26" s="1"/>
  <c r="C29" i="26" s="1"/>
  <c r="C30" i="26" s="1"/>
  <c r="C31" i="26" s="1"/>
  <c r="C32" i="26" s="1"/>
  <c r="C33" i="26" s="1"/>
  <c r="C34" i="26" s="1"/>
  <c r="C35" i="26" s="1"/>
  <c r="C36" i="26" s="1"/>
  <c r="C37" i="26" s="1"/>
  <c r="C38" i="26" s="1"/>
  <c r="C39" i="26" s="1"/>
  <c r="C40" i="26" s="1"/>
  <c r="C41" i="26" s="1"/>
  <c r="C42" i="26" s="1"/>
  <c r="C43" i="26" s="1"/>
  <c r="C44" i="26" s="1"/>
  <c r="C45" i="26" s="1"/>
  <c r="C46" i="26" s="1"/>
  <c r="C47" i="26" s="1"/>
  <c r="D10" i="26"/>
  <c r="E12" i="26"/>
  <c r="F15" i="26"/>
  <c r="E15" i="26" s="1"/>
  <c r="F16" i="26"/>
  <c r="E16" i="26" s="1"/>
  <c r="F17" i="26"/>
  <c r="E17" i="26" s="1"/>
  <c r="E18" i="26"/>
  <c r="F19" i="26"/>
  <c r="E19" i="26" s="1"/>
  <c r="F20" i="26"/>
  <c r="E20" i="26" s="1"/>
  <c r="F21" i="26"/>
  <c r="E21" i="26" s="1"/>
  <c r="F22" i="26"/>
  <c r="E22" i="26" s="1"/>
  <c r="F23" i="26"/>
  <c r="E23" i="26" s="1"/>
  <c r="F24" i="26"/>
  <c r="E24" i="26" s="1"/>
  <c r="F25" i="26"/>
  <c r="E25" i="26" s="1"/>
  <c r="F26" i="26"/>
  <c r="E26" i="26" s="1"/>
  <c r="F27" i="26"/>
  <c r="E27" i="26" s="1"/>
  <c r="F28" i="26"/>
  <c r="E28" i="26" s="1"/>
  <c r="F29" i="26"/>
  <c r="E29" i="26" s="1"/>
  <c r="F30" i="26"/>
  <c r="E30" i="26" s="1"/>
  <c r="F31" i="26"/>
  <c r="E31" i="26" s="1"/>
  <c r="F32" i="26"/>
  <c r="E32" i="26" s="1"/>
  <c r="F33" i="26"/>
  <c r="E33" i="26" s="1"/>
  <c r="F34" i="26"/>
  <c r="E34" i="26" s="1"/>
  <c r="F35" i="26"/>
  <c r="E35" i="26" s="1"/>
  <c r="F36" i="26"/>
  <c r="E36" i="26" s="1"/>
  <c r="F37" i="26"/>
  <c r="E37" i="26" s="1"/>
  <c r="F38" i="26"/>
  <c r="E38" i="26" s="1"/>
  <c r="F39" i="26"/>
  <c r="E39" i="26" s="1"/>
  <c r="F40" i="26"/>
  <c r="E40" i="26" s="1"/>
  <c r="F41" i="26"/>
  <c r="E41" i="26" s="1"/>
  <c r="F42" i="26"/>
  <c r="E42" i="26" s="1"/>
  <c r="F43" i="26"/>
  <c r="E43" i="26" s="1"/>
  <c r="F44" i="26"/>
  <c r="E44" i="26" s="1"/>
  <c r="F45" i="26"/>
  <c r="E45" i="26" s="1"/>
  <c r="F46" i="26"/>
  <c r="E46" i="26" s="1"/>
  <c r="F47" i="26"/>
  <c r="E47" i="26" s="1"/>
  <c r="H33" i="26"/>
  <c r="I5" i="26"/>
  <c r="K3" i="26"/>
  <c r="J4" i="26"/>
  <c r="K4" i="26" s="1"/>
  <c r="E10" i="26" l="1"/>
  <c r="F10" i="26"/>
  <c r="I33" i="26"/>
  <c r="J5" i="26"/>
  <c r="K6" i="26" s="1"/>
  <c r="K7" i="26" s="1"/>
  <c r="K8" i="26" s="1"/>
  <c r="K5" i="26"/>
</calcChain>
</file>

<file path=xl/sharedStrings.xml><?xml version="1.0" encoding="utf-8"?>
<sst xmlns="http://schemas.openxmlformats.org/spreadsheetml/2006/main" count="135" uniqueCount="67">
  <si>
    <t>Kỳ</t>
  </si>
  <si>
    <t>Ngày kế hoạch</t>
  </si>
  <si>
    <t>Số ngày</t>
  </si>
  <si>
    <t>Dư nợ</t>
  </si>
  <si>
    <t xml:space="preserve">Trả vốn </t>
  </si>
  <si>
    <t>Trả lãi</t>
  </si>
  <si>
    <t>Số tiền phải trả</t>
  </si>
  <si>
    <t>năm</t>
  </si>
  <si>
    <t>BẢNG TÍNH EMI</t>
  </si>
  <si>
    <t>Số tiền vay:</t>
  </si>
  <si>
    <t>Thời hạn vay:</t>
  </si>
  <si>
    <t>Gốc còn lại</t>
  </si>
  <si>
    <t>Ngày vay</t>
  </si>
  <si>
    <t>EMI</t>
  </si>
  <si>
    <t>Lãi suất mới</t>
  </si>
  <si>
    <t>Thời hạn còn lại</t>
  </si>
  <si>
    <t>Tổng cộng</t>
  </si>
  <si>
    <t>Thời gian ưu đãi</t>
  </si>
  <si>
    <t>Lãi suất (năm)</t>
  </si>
  <si>
    <t>Lãi</t>
  </si>
  <si>
    <t>Ưu đãi</t>
  </si>
  <si>
    <t>Bình thường</t>
  </si>
  <si>
    <t>Gốc</t>
  </si>
  <si>
    <t>Total</t>
  </si>
  <si>
    <t>Thời gian</t>
  </si>
  <si>
    <t>Lãi suất theo dư nợ giảm dần (tháng)</t>
  </si>
  <si>
    <t>Quy theo lãi suất phẳng (tháng)</t>
  </si>
  <si>
    <t>Lãi suất theo dư nợ giảm dần (năm)</t>
  </si>
  <si>
    <t>QUY ĐỔI RA LÃI SUẤT SUỐT THỜI HẠN HỢP ĐỒNG</t>
  </si>
  <si>
    <t>Lãi suất theo dư nợ gốc (tháng):</t>
  </si>
  <si>
    <t>Lãi suất theo dư nợ gốc (năm):</t>
  </si>
  <si>
    <t>Ngày trả nợ</t>
  </si>
  <si>
    <t>BẢNG DỰ TÍNH SỐ TiỀN TRẢ HÀNG THÁNG</t>
  </si>
  <si>
    <r>
      <t xml:space="preserve">Ngày vay </t>
    </r>
    <r>
      <rPr>
        <i/>
        <sz val="11"/>
        <rFont val="Times New Roman"/>
        <family val="1"/>
      </rPr>
      <t>(mm/dd/yyyy)</t>
    </r>
  </si>
  <si>
    <t>bỳ</t>
  </si>
  <si>
    <t>Phương thức: Gốc trả đều hàng tháng, lãi suất theo dư nợ giảm dần (360, số ngày thực tế)</t>
  </si>
  <si>
    <t>Lãi suất dư nợ ban đầu</t>
  </si>
  <si>
    <t xml:space="preserve"> /tháng</t>
  </si>
  <si>
    <t>Done</t>
  </si>
  <si>
    <t>Phương thức: Gốc trả đều hàng tháng, Lãi suất theo dư nợ ban đầu</t>
  </si>
  <si>
    <t>Lãi suất dư nợ giảm dần</t>
  </si>
  <si>
    <t>Lãi suất mới (năm):</t>
  </si>
  <si>
    <t>Thời gian ưu đãi (tháng):</t>
  </si>
  <si>
    <r>
      <t xml:space="preserve">Lãi suất </t>
    </r>
    <r>
      <rPr>
        <i/>
        <sz val="12"/>
        <rFont val="Times New Roman"/>
        <family val="1"/>
      </rPr>
      <t>(năm)</t>
    </r>
  </si>
  <si>
    <r>
      <t xml:space="preserve">Ngày giải ngân </t>
    </r>
    <r>
      <rPr>
        <i/>
        <sz val="12"/>
        <rFont val="Times New Roman"/>
        <family val="1"/>
      </rPr>
      <t>(mm/dd/yyyy):</t>
    </r>
  </si>
  <si>
    <r>
      <t xml:space="preserve">Ngày trả tiền vay </t>
    </r>
    <r>
      <rPr>
        <i/>
        <sz val="12"/>
        <rFont val="Times New Roman"/>
        <family val="1"/>
      </rPr>
      <t>(mm/dd/yyyy):</t>
    </r>
  </si>
  <si>
    <r>
      <t xml:space="preserve">Ngày trả tiền vay </t>
    </r>
    <r>
      <rPr>
        <i/>
        <sz val="10"/>
        <rFont val="Times New Roman"/>
        <family val="1"/>
      </rPr>
      <t>(mm/dd/yyyy)</t>
    </r>
    <r>
      <rPr>
        <i/>
        <sz val="12"/>
        <rFont val="Times New Roman"/>
        <family val="1"/>
      </rPr>
      <t>:</t>
    </r>
  </si>
  <si>
    <r>
      <t xml:space="preserve">Lãi suất </t>
    </r>
    <r>
      <rPr>
        <i/>
        <sz val="10"/>
        <rFont val="Times New Roman"/>
        <family val="1"/>
      </rPr>
      <t>(năm):</t>
    </r>
  </si>
  <si>
    <t>Phương thức: Gốc và lãi trả đều hàng tháng - EMI (số ngày tính lãi không ảnh hưởng)</t>
  </si>
  <si>
    <r>
      <t xml:space="preserve">Ngày giải ngân </t>
    </r>
    <r>
      <rPr>
        <i/>
        <sz val="10"/>
        <rFont val="Times New Roman"/>
        <family val="1"/>
      </rPr>
      <t>(mm/dd/yyyy)</t>
    </r>
    <r>
      <rPr>
        <i/>
        <sz val="12"/>
        <rFont val="Times New Roman"/>
        <family val="1"/>
      </rPr>
      <t>:</t>
    </r>
  </si>
  <si>
    <r>
      <t xml:space="preserve">Ngày trả tiền vay </t>
    </r>
    <r>
      <rPr>
        <i/>
        <sz val="12"/>
        <rFont val="Times New Roman"/>
        <family val="1"/>
      </rPr>
      <t>(</t>
    </r>
    <r>
      <rPr>
        <i/>
        <sz val="10"/>
        <rFont val="Times New Roman"/>
        <family val="1"/>
      </rPr>
      <t>mm/dd/yyyy)</t>
    </r>
  </si>
  <si>
    <t>Phương thức: Gốc và lãi trả đều hàng tháng - lãi suất theo số ngày trong tháng</t>
  </si>
  <si>
    <t>2. Lãi theo số gốc của PPMT còn lại từng tháng</t>
  </si>
  <si>
    <t>1. Gốc tính theo PPMT = 400tr</t>
  </si>
  <si>
    <t>3. Lãi theo số ngày thực tế (360) = 38.656.605</t>
  </si>
  <si>
    <t>4. Total gốc + lãi /số tháng = số tiền đóng hàng tháng</t>
  </si>
  <si>
    <t>5. Lãi = số tiền đóng hàng tháng - gốc</t>
  </si>
  <si>
    <t>Cách tính:</t>
  </si>
  <si>
    <r>
      <t xml:space="preserve">Ngày giải ngân </t>
    </r>
    <r>
      <rPr>
        <i/>
        <sz val="9"/>
        <rFont val="Times New Roman"/>
        <family val="1"/>
      </rPr>
      <t>(mm/dd/yyyy</t>
    </r>
    <r>
      <rPr>
        <i/>
        <sz val="12"/>
        <rFont val="Times New Roman"/>
        <family val="1"/>
      </rPr>
      <t>):</t>
    </r>
  </si>
  <si>
    <t>Quy đổi lãi suất phẳng tham khảo:</t>
  </si>
  <si>
    <t>Lãi thực tế</t>
  </si>
  <si>
    <t>Số tiền hàng tháng</t>
  </si>
  <si>
    <t>Lãi điều chỉnh</t>
  </si>
  <si>
    <t>Tổng</t>
  </si>
  <si>
    <r>
      <t xml:space="preserve">Lãi suất </t>
    </r>
    <r>
      <rPr>
        <i/>
        <sz val="10"/>
        <rFont val="Times New Roman"/>
        <family val="1"/>
      </rPr>
      <t>(năm)</t>
    </r>
  </si>
  <si>
    <r>
      <t xml:space="preserve">Ngày giải ngân </t>
    </r>
    <r>
      <rPr>
        <i/>
        <sz val="10"/>
        <rFont val="Times New Roman"/>
        <family val="1"/>
      </rPr>
      <t>(mm/dd/yyyy):</t>
    </r>
  </si>
  <si>
    <r>
      <t xml:space="preserve">Ngày trả tiền vay </t>
    </r>
    <r>
      <rPr>
        <i/>
        <sz val="10"/>
        <rFont val="Times New Roman"/>
        <family val="1"/>
      </rPr>
      <t>(mm/dd/yyyy):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</si>
</sst>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8" formatCode="&quot;$&quot;#,##0.00_);[Red]\(&quot;$&quot;#,##0.00\)"/>
    <numFmt numFmtId="43" formatCode="_(* #,##0.00_);_(* \(#,##0.00\);_(* &quot;-&quot;??_);_(@_)"/>
    <numFmt numFmtId="164" formatCode="#,##0\đ"/>
    <numFmt numFmtId="165" formatCode="_(* #,##0_);_(* \(#,##0\);_(* &quot;-&quot;??_);_(@_)"/>
    <numFmt numFmtId="166" formatCode="0.0%"/>
    <numFmt numFmtId="167" formatCode="0.0000%"/>
    <numFmt numFmtId="168" formatCode="0.000%"/>
    <numFmt numFmtId="169" formatCode="dd/mm/yyyy"/>
    <numFmt numFmtId="170" formatCode="_(* #,##0.0_);_(* \(#,##0.0\);_(* &quot;-&quot;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indexed="10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b/>
      <sz val="12"/>
      <color rgb="FFFF0000"/>
      <name val="Times New Roman"/>
      <family val="1"/>
    </font>
    <font>
      <b/>
      <sz val="16"/>
      <color rgb="FFFF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0"/>
      <name val="Arial"/>
      <family val="2"/>
    </font>
    <font>
      <b/>
      <sz val="13"/>
      <color rgb="FF0000FF"/>
      <name val="Times New Roman"/>
      <family val="1"/>
    </font>
    <font>
      <b/>
      <sz val="11"/>
      <color rgb="FF0000FF"/>
      <name val="Times New Roman"/>
      <family val="1"/>
    </font>
    <font>
      <b/>
      <sz val="12"/>
      <color rgb="FF0000FF"/>
      <name val="Times New Roman"/>
      <family val="1"/>
    </font>
    <font>
      <b/>
      <i/>
      <u/>
      <sz val="12"/>
      <name val="Times New Roman"/>
      <family val="1"/>
    </font>
    <font>
      <b/>
      <sz val="14"/>
      <color rgb="FFFF0000"/>
      <name val="Times New Roman"/>
      <family val="1"/>
    </font>
    <font>
      <b/>
      <sz val="11"/>
      <name val="Times New Roman"/>
      <family val="1"/>
    </font>
    <font>
      <b/>
      <i/>
      <sz val="10"/>
      <color rgb="FF0000FF"/>
      <name val="Times New Roman"/>
      <family val="1"/>
    </font>
    <font>
      <i/>
      <sz val="11"/>
      <name val="Times New Roman"/>
      <family val="1"/>
    </font>
    <font>
      <i/>
      <sz val="12"/>
      <color rgb="FFFF0000"/>
      <name val="Times New Roman"/>
      <family val="1"/>
    </font>
    <font>
      <sz val="10"/>
      <name val="Times New Roman"/>
      <family val="1"/>
    </font>
    <font>
      <sz val="9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sz val="10"/>
      <name val="Times New Roman"/>
      <family val="1"/>
    </font>
    <font>
      <i/>
      <sz val="9"/>
      <name val="Times New Roman"/>
      <family val="1"/>
    </font>
    <font>
      <b/>
      <sz val="10"/>
      <color rgb="FFFF0000"/>
      <name val="Times New Roman"/>
      <family val="1"/>
    </font>
    <font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indexed="10"/>
      <name val="Times New Roman"/>
      <family val="1"/>
    </font>
    <font>
      <b/>
      <u/>
      <sz val="11"/>
      <color theme="1"/>
      <name val="Times New Roman"/>
      <family val="1"/>
    </font>
    <font>
      <i/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</cellStyleXfs>
  <cellXfs count="123">
    <xf numFmtId="0" fontId="0" fillId="0" borderId="0" xfId="0"/>
    <xf numFmtId="0" fontId="0" fillId="0" borderId="0" xfId="0" applyNumberFormat="1"/>
    <xf numFmtId="14" fontId="5" fillId="0" borderId="0" xfId="0" applyNumberFormat="1" applyFont="1" applyFill="1" applyAlignment="1">
      <alignment horizontal="left" vertical="center"/>
    </xf>
    <xf numFmtId="10" fontId="5" fillId="0" borderId="0" xfId="0" applyNumberFormat="1" applyFont="1" applyAlignment="1">
      <alignment horizontal="left" vertical="center"/>
    </xf>
    <xf numFmtId="165" fontId="4" fillId="0" borderId="0" xfId="1" applyNumberFormat="1" applyFont="1"/>
    <xf numFmtId="0" fontId="0" fillId="0" borderId="0" xfId="0" applyAlignment="1">
      <alignment horizontal="center"/>
    </xf>
    <xf numFmtId="165" fontId="6" fillId="2" borderId="1" xfId="1" applyNumberFormat="1" applyFont="1" applyFill="1" applyBorder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/>
    </xf>
    <xf numFmtId="14" fontId="3" fillId="3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horizontal="left"/>
    </xf>
    <xf numFmtId="165" fontId="3" fillId="3" borderId="0" xfId="1" applyNumberFormat="1" applyFont="1" applyFill="1" applyAlignment="1"/>
    <xf numFmtId="0" fontId="13" fillId="3" borderId="0" xfId="0" applyFont="1" applyFill="1"/>
    <xf numFmtId="0" fontId="8" fillId="3" borderId="0" xfId="0" applyFont="1" applyFill="1" applyAlignment="1">
      <alignment vertical="center"/>
    </xf>
    <xf numFmtId="165" fontId="8" fillId="3" borderId="0" xfId="1" applyNumberFormat="1" applyFont="1" applyFill="1"/>
    <xf numFmtId="0" fontId="3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horizontal="center" vertical="center"/>
    </xf>
    <xf numFmtId="0" fontId="11" fillId="3" borderId="0" xfId="0" applyFont="1" applyFill="1"/>
    <xf numFmtId="165" fontId="4" fillId="3" borderId="0" xfId="1" applyNumberFormat="1" applyFont="1" applyFill="1"/>
    <xf numFmtId="165" fontId="3" fillId="3" borderId="0" xfId="1" applyNumberFormat="1" applyFont="1" applyFill="1" applyAlignment="1">
      <alignment horizontal="center"/>
    </xf>
    <xf numFmtId="164" fontId="5" fillId="0" borderId="1" xfId="1" applyNumberFormat="1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37" fontId="7" fillId="3" borderId="2" xfId="1" applyNumberFormat="1" applyFont="1" applyFill="1" applyBorder="1" applyAlignment="1"/>
    <xf numFmtId="165" fontId="7" fillId="3" borderId="2" xfId="1" applyNumberFormat="1" applyFont="1" applyFill="1" applyBorder="1"/>
    <xf numFmtId="43" fontId="0" fillId="0" borderId="0" xfId="0" applyNumberFormat="1"/>
    <xf numFmtId="0" fontId="2" fillId="5" borderId="1" xfId="0" applyFont="1" applyFill="1" applyBorder="1" applyAlignment="1">
      <alignment horizontal="center" vertical="center"/>
    </xf>
    <xf numFmtId="166" fontId="12" fillId="0" borderId="1" xfId="0" applyNumberFormat="1" applyFont="1" applyFill="1" applyBorder="1" applyAlignment="1">
      <alignment horizontal="center"/>
    </xf>
    <xf numFmtId="165" fontId="0" fillId="0" borderId="0" xfId="0" applyNumberFormat="1"/>
    <xf numFmtId="8" fontId="0" fillId="0" borderId="0" xfId="0" applyNumberFormat="1"/>
    <xf numFmtId="10" fontId="5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3" fontId="10" fillId="6" borderId="1" xfId="0" applyNumberFormat="1" applyFont="1" applyFill="1" applyBorder="1" applyAlignment="1">
      <alignment horizontal="center"/>
    </xf>
    <xf numFmtId="3" fontId="11" fillId="6" borderId="1" xfId="0" applyNumberFormat="1" applyFont="1" applyFill="1" applyBorder="1" applyAlignment="1">
      <alignment horizontal="center"/>
    </xf>
    <xf numFmtId="167" fontId="12" fillId="6" borderId="1" xfId="2" applyNumberFormat="1" applyFont="1" applyFill="1" applyBorder="1" applyAlignment="1">
      <alignment horizontal="center"/>
    </xf>
    <xf numFmtId="0" fontId="10" fillId="0" borderId="1" xfId="0" applyFont="1" applyFill="1" applyBorder="1" applyAlignment="1">
      <alignment horizontal="right"/>
    </xf>
    <xf numFmtId="0" fontId="11" fillId="3" borderId="0" xfId="0" applyFont="1" applyFill="1" applyAlignment="1">
      <alignment horizontal="center"/>
    </xf>
    <xf numFmtId="0" fontId="2" fillId="3" borderId="0" xfId="0" applyFont="1" applyFill="1" applyAlignment="1" applyProtection="1">
      <alignment horizontal="left" vertical="center" wrapText="1"/>
      <protection hidden="1"/>
    </xf>
    <xf numFmtId="0" fontId="2" fillId="3" borderId="0" xfId="0" applyFont="1" applyFill="1" applyAlignment="1" applyProtection="1">
      <alignment horizontal="center" vertical="center"/>
      <protection hidden="1"/>
    </xf>
    <xf numFmtId="0" fontId="13" fillId="3" borderId="0" xfId="0" applyFont="1" applyFill="1" applyProtection="1">
      <protection hidden="1"/>
    </xf>
    <xf numFmtId="0" fontId="3" fillId="3" borderId="0" xfId="0" applyFont="1" applyFill="1" applyAlignment="1" applyProtection="1">
      <alignment vertical="center"/>
      <protection hidden="1"/>
    </xf>
    <xf numFmtId="3" fontId="2" fillId="3" borderId="0" xfId="0" applyNumberFormat="1" applyFont="1" applyFill="1" applyAlignment="1" applyProtection="1">
      <alignment horizontal="center" vertical="center"/>
      <protection hidden="1"/>
    </xf>
    <xf numFmtId="0" fontId="0" fillId="3" borderId="0" xfId="0" applyFill="1" applyProtection="1">
      <protection hidden="1"/>
    </xf>
    <xf numFmtId="0" fontId="18" fillId="3" borderId="0" xfId="0" applyFont="1" applyFill="1" applyAlignment="1" applyProtection="1">
      <alignment horizontal="left"/>
      <protection hidden="1"/>
    </xf>
    <xf numFmtId="0" fontId="20" fillId="3" borderId="0" xfId="0" applyFont="1" applyFill="1" applyAlignment="1" applyProtection="1">
      <alignment horizontal="left" vertical="center"/>
      <protection hidden="1"/>
    </xf>
    <xf numFmtId="0" fontId="12" fillId="3" borderId="0" xfId="0" applyFont="1" applyFill="1" applyAlignment="1" applyProtection="1">
      <alignment horizontal="left"/>
      <protection hidden="1"/>
    </xf>
    <xf numFmtId="0" fontId="21" fillId="3" borderId="0" xfId="0" applyFont="1" applyFill="1" applyAlignment="1" applyProtection="1">
      <alignment horizontal="left"/>
      <protection hidden="1"/>
    </xf>
    <xf numFmtId="3" fontId="15" fillId="3" borderId="0" xfId="0" applyNumberFormat="1" applyFont="1" applyFill="1" applyAlignment="1" applyProtection="1">
      <alignment horizontal="center" vertical="center"/>
      <protection hidden="1"/>
    </xf>
    <xf numFmtId="167" fontId="16" fillId="7" borderId="1" xfId="2" applyNumberFormat="1" applyFont="1" applyFill="1" applyBorder="1" applyAlignment="1" applyProtection="1">
      <alignment horizontal="center"/>
      <protection hidden="1"/>
    </xf>
    <xf numFmtId="0" fontId="8" fillId="3" borderId="0" xfId="0" applyFont="1" applyFill="1" applyAlignment="1" applyProtection="1">
      <alignment vertical="center"/>
      <protection hidden="1"/>
    </xf>
    <xf numFmtId="165" fontId="17" fillId="3" borderId="0" xfId="1" applyNumberFormat="1" applyFont="1" applyFill="1" applyAlignment="1" applyProtection="1">
      <alignment horizontal="center"/>
      <protection hidden="1"/>
    </xf>
    <xf numFmtId="0" fontId="11" fillId="3" borderId="0" xfId="0" applyFont="1" applyFill="1" applyAlignment="1" applyProtection="1">
      <alignment horizontal="left"/>
      <protection hidden="1"/>
    </xf>
    <xf numFmtId="165" fontId="3" fillId="3" borderId="0" xfId="1" applyNumberFormat="1" applyFont="1" applyFill="1" applyAlignment="1" applyProtection="1">
      <protection hidden="1"/>
    </xf>
    <xf numFmtId="165" fontId="8" fillId="3" borderId="0" xfId="1" applyNumberFormat="1" applyFont="1" applyFill="1" applyProtection="1">
      <protection hidden="1"/>
    </xf>
    <xf numFmtId="165" fontId="6" fillId="2" borderId="1" xfId="1" applyNumberFormat="1" applyFont="1" applyFill="1" applyBorder="1" applyAlignment="1" applyProtection="1">
      <alignment horizontal="center"/>
      <protection hidden="1"/>
    </xf>
    <xf numFmtId="37" fontId="7" fillId="3" borderId="2" xfId="1" applyNumberFormat="1" applyFont="1" applyFill="1" applyBorder="1" applyAlignment="1" applyProtection="1">
      <protection hidden="1"/>
    </xf>
    <xf numFmtId="169" fontId="7" fillId="3" borderId="2" xfId="1" applyNumberFormat="1" applyFont="1" applyFill="1" applyBorder="1" applyProtection="1">
      <protection hidden="1"/>
    </xf>
    <xf numFmtId="165" fontId="7" fillId="3" borderId="2" xfId="1" applyNumberFormat="1" applyFont="1" applyFill="1" applyBorder="1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Protection="1">
      <protection hidden="1"/>
    </xf>
    <xf numFmtId="0" fontId="13" fillId="3" borderId="0" xfId="0" applyFont="1" applyFill="1" applyAlignment="1" applyProtection="1">
      <alignment horizontal="left"/>
      <protection hidden="1"/>
    </xf>
    <xf numFmtId="0" fontId="6" fillId="3" borderId="0" xfId="0" applyFont="1" applyFill="1" applyAlignment="1">
      <alignment horizontal="left" vertical="center"/>
    </xf>
    <xf numFmtId="169" fontId="24" fillId="3" borderId="2" xfId="1" quotePrefix="1" applyNumberFormat="1" applyFont="1" applyFill="1" applyBorder="1"/>
    <xf numFmtId="169" fontId="24" fillId="3" borderId="2" xfId="1" applyNumberFormat="1" applyFont="1" applyFill="1" applyBorder="1"/>
    <xf numFmtId="165" fontId="10" fillId="3" borderId="0" xfId="0" applyNumberFormat="1" applyFont="1" applyFill="1"/>
    <xf numFmtId="165" fontId="3" fillId="3" borderId="0" xfId="0" applyNumberFormat="1" applyFont="1" applyFill="1" applyAlignment="1">
      <alignment horizontal="left" vertical="center"/>
    </xf>
    <xf numFmtId="165" fontId="11" fillId="3" borderId="0" xfId="0" applyNumberFormat="1" applyFont="1" applyFill="1"/>
    <xf numFmtId="43" fontId="0" fillId="3" borderId="0" xfId="0" applyNumberFormat="1" applyFill="1"/>
    <xf numFmtId="0" fontId="23" fillId="3" borderId="0" xfId="0" applyFont="1" applyFill="1" applyAlignment="1" applyProtection="1">
      <alignment horizontal="center" wrapText="1"/>
      <protection hidden="1"/>
    </xf>
    <xf numFmtId="0" fontId="7" fillId="3" borderId="0" xfId="0" applyFont="1" applyFill="1" applyAlignment="1" applyProtection="1">
      <alignment horizontal="left"/>
      <protection hidden="1"/>
    </xf>
    <xf numFmtId="14" fontId="7" fillId="3" borderId="0" xfId="0" applyNumberFormat="1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Protection="1">
      <protection hidden="1"/>
    </xf>
    <xf numFmtId="165" fontId="26" fillId="3" borderId="0" xfId="0" applyNumberFormat="1" applyFont="1" applyFill="1" applyProtection="1">
      <protection hidden="1"/>
    </xf>
    <xf numFmtId="169" fontId="7" fillId="3" borderId="2" xfId="1" quotePrefix="1" applyNumberFormat="1" applyFont="1" applyFill="1" applyBorder="1"/>
    <xf numFmtId="169" fontId="7" fillId="3" borderId="2" xfId="1" applyNumberFormat="1" applyFont="1" applyFill="1" applyBorder="1"/>
    <xf numFmtId="1" fontId="2" fillId="5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28" fillId="3" borderId="0" xfId="0" applyFont="1" applyFill="1" applyAlignment="1">
      <alignment horizontal="right" vertical="center"/>
    </xf>
    <xf numFmtId="165" fontId="27" fillId="3" borderId="0" xfId="1" applyNumberFormat="1" applyFont="1" applyFill="1" applyAlignment="1">
      <alignment horizontal="right"/>
    </xf>
    <xf numFmtId="166" fontId="20" fillId="0" borderId="1" xfId="0" applyNumberFormat="1" applyFont="1" applyFill="1" applyBorder="1" applyAlignment="1">
      <alignment horizontal="center"/>
    </xf>
    <xf numFmtId="167" fontId="29" fillId="6" borderId="1" xfId="2" applyNumberFormat="1" applyFont="1" applyFill="1" applyBorder="1" applyAlignment="1">
      <alignment horizontal="center"/>
    </xf>
    <xf numFmtId="0" fontId="11" fillId="3" borderId="0" xfId="0" applyFont="1" applyFill="1" applyAlignment="1">
      <alignment horizontal="right"/>
    </xf>
    <xf numFmtId="168" fontId="24" fillId="0" borderId="0" xfId="2" applyNumberFormat="1" applyFont="1"/>
    <xf numFmtId="168" fontId="24" fillId="3" borderId="0" xfId="2" applyNumberFormat="1" applyFont="1" applyFill="1" applyAlignment="1">
      <alignment horizontal="center" vertical="center"/>
    </xf>
    <xf numFmtId="170" fontId="0" fillId="0" borderId="0" xfId="0" applyNumberFormat="1"/>
    <xf numFmtId="0" fontId="23" fillId="3" borderId="0" xfId="0" applyFont="1" applyFill="1" applyAlignment="1" applyProtection="1">
      <alignment horizontal="center" wrapText="1"/>
      <protection hidden="1"/>
    </xf>
    <xf numFmtId="165" fontId="7" fillId="3" borderId="2" xfId="1" quotePrefix="1" applyNumberFormat="1" applyFont="1" applyFill="1" applyBorder="1" applyProtection="1">
      <protection hidden="1"/>
    </xf>
    <xf numFmtId="165" fontId="7" fillId="3" borderId="2" xfId="1" applyNumberFormat="1" applyFont="1" applyFill="1" applyBorder="1" applyAlignment="1" applyProtection="1">
      <alignment horizontal="center"/>
      <protection hidden="1"/>
    </xf>
    <xf numFmtId="0" fontId="24" fillId="3" borderId="2" xfId="1" applyNumberFormat="1" applyFont="1" applyFill="1" applyBorder="1"/>
    <xf numFmtId="169" fontId="5" fillId="0" borderId="1" xfId="0" applyNumberFormat="1" applyFont="1" applyFill="1" applyBorder="1" applyAlignment="1">
      <alignment horizontal="center" vertical="center"/>
    </xf>
    <xf numFmtId="165" fontId="7" fillId="3" borderId="0" xfId="1" applyNumberFormat="1" applyFont="1" applyFill="1"/>
    <xf numFmtId="165" fontId="24" fillId="3" borderId="0" xfId="1" applyNumberFormat="1" applyFont="1" applyFill="1" applyAlignment="1">
      <alignment horizontal="center" vertical="center"/>
    </xf>
    <xf numFmtId="165" fontId="7" fillId="6" borderId="2" xfId="1" applyNumberFormat="1" applyFont="1" applyFill="1" applyBorder="1"/>
    <xf numFmtId="165" fontId="6" fillId="3" borderId="0" xfId="1" applyNumberFormat="1" applyFont="1" applyFill="1" applyAlignment="1"/>
    <xf numFmtId="165" fontId="31" fillId="3" borderId="0" xfId="0" applyNumberFormat="1" applyFont="1" applyFill="1"/>
    <xf numFmtId="165" fontId="6" fillId="2" borderId="1" xfId="1" applyNumberFormat="1" applyFont="1" applyFill="1" applyBorder="1" applyAlignment="1">
      <alignment horizontal="center" vertical="center" wrapText="1"/>
    </xf>
    <xf numFmtId="165" fontId="6" fillId="6" borderId="1" xfId="1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32" fillId="0" borderId="1" xfId="1" applyNumberFormat="1" applyFont="1" applyFill="1" applyBorder="1" applyAlignment="1">
      <alignment vertical="center"/>
    </xf>
    <xf numFmtId="0" fontId="29" fillId="0" borderId="1" xfId="0" applyFont="1" applyFill="1" applyBorder="1" applyAlignment="1">
      <alignment horizontal="center" vertical="center"/>
    </xf>
    <xf numFmtId="10" fontId="32" fillId="0" borderId="1" xfId="0" applyNumberFormat="1" applyFont="1" applyFill="1" applyBorder="1" applyAlignment="1">
      <alignment horizontal="center" vertical="center"/>
    </xf>
    <xf numFmtId="169" fontId="32" fillId="0" borderId="1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/>
    </xf>
    <xf numFmtId="14" fontId="6" fillId="3" borderId="0" xfId="0" applyNumberFormat="1" applyFont="1" applyFill="1" applyAlignment="1">
      <alignment horizontal="left" vertical="center"/>
    </xf>
    <xf numFmtId="0" fontId="33" fillId="0" borderId="0" xfId="0" applyFont="1"/>
    <xf numFmtId="0" fontId="10" fillId="0" borderId="0" xfId="0" applyFont="1"/>
    <xf numFmtId="0" fontId="31" fillId="0" borderId="0" xfId="0" applyFont="1"/>
    <xf numFmtId="165" fontId="24" fillId="3" borderId="0" xfId="1" applyNumberFormat="1" applyFont="1" applyFill="1" applyAlignment="1"/>
    <xf numFmtId="165" fontId="29" fillId="3" borderId="0" xfId="0" applyNumberFormat="1" applyFont="1" applyFill="1"/>
    <xf numFmtId="0" fontId="34" fillId="0" borderId="0" xfId="0" applyFont="1"/>
    <xf numFmtId="43" fontId="0" fillId="0" borderId="0" xfId="1" applyFont="1"/>
    <xf numFmtId="0" fontId="19" fillId="3" borderId="0" xfId="0" applyFont="1" applyFill="1" applyAlignment="1" applyProtection="1">
      <alignment horizontal="center" wrapText="1"/>
      <protection hidden="1"/>
    </xf>
    <xf numFmtId="0" fontId="23" fillId="3" borderId="0" xfId="0" applyFont="1" applyFill="1" applyAlignment="1" applyProtection="1">
      <alignment horizontal="center" wrapText="1"/>
      <protection hidden="1"/>
    </xf>
    <xf numFmtId="0" fontId="19" fillId="3" borderId="0" xfId="0" applyFont="1" applyFill="1" applyAlignment="1" applyProtection="1">
      <alignment horizontal="left" wrapText="1"/>
      <protection hidden="1"/>
    </xf>
    <xf numFmtId="0" fontId="23" fillId="3" borderId="0" xfId="0" applyFont="1" applyFill="1" applyAlignment="1" applyProtection="1">
      <alignment horizontal="left" wrapText="1"/>
      <protection hidden="1"/>
    </xf>
    <xf numFmtId="0" fontId="9" fillId="3" borderId="0" xfId="0" applyFont="1" applyFill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right"/>
    </xf>
    <xf numFmtId="0" fontId="10" fillId="0" borderId="5" xfId="0" applyFont="1" applyFill="1" applyBorder="1" applyAlignment="1">
      <alignment horizontal="right"/>
    </xf>
    <xf numFmtId="0" fontId="10" fillId="0" borderId="6" xfId="0" applyFont="1" applyFill="1" applyBorder="1" applyAlignment="1">
      <alignment horizontal="right"/>
    </xf>
  </cellXfs>
  <cellStyles count="4">
    <cellStyle name="Comma" xfId="1" builtinId="3"/>
    <cellStyle name="Normal" xfId="0" builtinId="0"/>
    <cellStyle name="Normal 2" xfId="3"/>
    <cellStyle name="Percent" xfId="2" builtinId="5"/>
  </cellStyles>
  <dxfs count="0"/>
  <tableStyles count="0" defaultTableStyle="TableStyleMedium9" defaultPivotStyle="PivotStyleLight16"/>
  <colors>
    <mruColors>
      <color rgb="FFFFFF99"/>
      <color rgb="FF00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showGridLines="0" workbookViewId="0">
      <selection activeCell="L13" sqref="L13"/>
    </sheetView>
  </sheetViews>
  <sheetFormatPr defaultRowHeight="15" x14ac:dyDescent="0.25"/>
  <cols>
    <col min="1" max="1" width="10.7109375" style="5" customWidth="1"/>
    <col min="2" max="2" width="18.28515625" customWidth="1"/>
    <col min="3" max="3" width="15.5703125" customWidth="1"/>
    <col min="4" max="4" width="15.42578125" customWidth="1"/>
    <col min="5" max="5" width="15.28515625" customWidth="1"/>
    <col min="6" max="6" width="15" customWidth="1"/>
    <col min="7" max="7" width="15.28515625" bestFit="1" customWidth="1"/>
    <col min="8" max="8" width="13.28515625" bestFit="1" customWidth="1"/>
  </cols>
  <sheetData>
    <row r="1" spans="1:8" ht="20.25" customHeight="1" x14ac:dyDescent="0.3">
      <c r="A1" s="114" t="s">
        <v>32</v>
      </c>
      <c r="B1" s="114"/>
      <c r="C1" s="114"/>
      <c r="D1" s="114"/>
      <c r="E1" s="114"/>
      <c r="F1" s="114"/>
    </row>
    <row r="2" spans="1:8" ht="15.75" customHeight="1" x14ac:dyDescent="0.25">
      <c r="A2" s="115" t="s">
        <v>48</v>
      </c>
      <c r="B2" s="115"/>
      <c r="C2" s="115"/>
      <c r="D2" s="115"/>
      <c r="E2" s="115"/>
      <c r="F2" s="115"/>
    </row>
    <row r="3" spans="1:8" ht="16.5" x14ac:dyDescent="0.25">
      <c r="A3" s="7"/>
      <c r="B3" s="8"/>
      <c r="C3" s="9"/>
      <c r="D3" s="18"/>
      <c r="E3" s="18"/>
      <c r="F3" s="8"/>
    </row>
    <row r="4" spans="1:8" ht="16.5" x14ac:dyDescent="0.25">
      <c r="A4" s="10" t="s">
        <v>9</v>
      </c>
      <c r="B4" s="8"/>
      <c r="C4" s="23">
        <v>400000000</v>
      </c>
      <c r="D4" s="18"/>
      <c r="E4" s="18"/>
      <c r="F4" s="9"/>
    </row>
    <row r="5" spans="1:8" ht="15.75" customHeight="1" x14ac:dyDescent="0.25">
      <c r="A5" s="10" t="s">
        <v>10</v>
      </c>
      <c r="B5" s="8"/>
      <c r="C5" s="24">
        <v>30</v>
      </c>
      <c r="D5" s="10"/>
      <c r="E5" s="10"/>
      <c r="F5" s="9"/>
    </row>
    <row r="6" spans="1:8" ht="15.75" customHeight="1" x14ac:dyDescent="0.25">
      <c r="A6" s="11" t="s">
        <v>43</v>
      </c>
      <c r="B6" s="8"/>
      <c r="C6" s="33">
        <v>7.0000000000000007E-2</v>
      </c>
      <c r="D6" s="20"/>
      <c r="E6" s="69"/>
      <c r="F6" s="70"/>
    </row>
    <row r="7" spans="1:8" ht="15.75" customHeight="1" x14ac:dyDescent="0.25">
      <c r="A7" s="12" t="s">
        <v>58</v>
      </c>
      <c r="B7" s="8"/>
      <c r="C7" s="92">
        <f ca="1">NOW()</f>
        <v>42577.361573379632</v>
      </c>
      <c r="D7" s="20"/>
      <c r="E7" s="69"/>
      <c r="F7" s="70"/>
    </row>
    <row r="8" spans="1:8" ht="15.75" customHeight="1" x14ac:dyDescent="0.25">
      <c r="A8" s="12" t="s">
        <v>46</v>
      </c>
      <c r="B8" s="8"/>
      <c r="C8" s="92">
        <v>42534</v>
      </c>
      <c r="D8" s="68"/>
      <c r="E8" s="68"/>
      <c r="F8" s="68"/>
    </row>
    <row r="9" spans="1:8" ht="15.75" customHeight="1" x14ac:dyDescent="0.25">
      <c r="A9" s="13" t="s">
        <v>13</v>
      </c>
      <c r="B9" s="20"/>
      <c r="C9" s="14">
        <f>-PMT($C$6/12,$C$5,$C$4)</f>
        <v>14572762.899563752</v>
      </c>
      <c r="D9" s="67">
        <f>SUM(D11:D70)</f>
        <v>399999999.99999994</v>
      </c>
      <c r="E9" s="67">
        <f>SUM(E11:E70)</f>
        <v>37182886.986912571</v>
      </c>
      <c r="F9" s="67">
        <f>D9+E9</f>
        <v>437182886.98691249</v>
      </c>
      <c r="G9" s="113"/>
    </row>
    <row r="10" spans="1:8" ht="16.5" customHeight="1" x14ac:dyDescent="0.25">
      <c r="A10" s="6" t="s">
        <v>0</v>
      </c>
      <c r="B10" s="6" t="s">
        <v>1</v>
      </c>
      <c r="C10" s="6" t="s">
        <v>3</v>
      </c>
      <c r="D10" s="6" t="s">
        <v>4</v>
      </c>
      <c r="E10" s="6" t="s">
        <v>5</v>
      </c>
      <c r="F10" s="6" t="s">
        <v>6</v>
      </c>
    </row>
    <row r="11" spans="1:8" ht="16.5" customHeight="1" x14ac:dyDescent="0.25">
      <c r="A11" s="26">
        <v>1</v>
      </c>
      <c r="B11" s="65">
        <f xml:space="preserve"> IFERROR(IF(DAY(EOMONTH(C8,1))&lt;=DAY(C8),EOMONTH(C8,1),DATE(YEAR(C8),MONTH(C8),DAY(C8))),"No date in system")</f>
        <v>42534</v>
      </c>
      <c r="C11" s="27">
        <f>C4</f>
        <v>400000000</v>
      </c>
      <c r="D11" s="27">
        <f>IF(A11&gt;$C$5,"",-PPMT($C$6/12,A11,$C$5,$C$11))</f>
        <v>12239429.566230416</v>
      </c>
      <c r="E11" s="27">
        <f t="shared" ref="E11:E42" si="0">IF(A11&gt;$C$5,"",-IPMT($C$6/12,A11,$C$5,$C$4))</f>
        <v>2333333.3333333335</v>
      </c>
      <c r="F11" s="27">
        <f t="shared" ref="F11:F42" si="1">IF(A11&gt;$C$5,"",SUM(D11:E11))</f>
        <v>14572762.89956375</v>
      </c>
      <c r="G11" s="113"/>
      <c r="H11" s="28"/>
    </row>
    <row r="12" spans="1:8" x14ac:dyDescent="0.25">
      <c r="A12" s="26">
        <f t="shared" ref="A12:A43" si="2">IF(A11&lt;$C$5,A11+1,"")</f>
        <v>2</v>
      </c>
      <c r="B12" s="66">
        <f t="shared" ref="B12:B43" si="3" xml:space="preserve"> IFERROR(IF($A12&gt;$C$5,"",IF(DAY(EOMONTH(B11,1))&lt;=DAY($C$8),EOMONTH(B11,1),DATE(YEAR(B11),MONTH(B11)+1,DAY($C$8)))),"No date in system")</f>
        <v>42564</v>
      </c>
      <c r="C12" s="27">
        <f t="shared" ref="C12:C43" si="4">IF(A11&gt;$C$5,"",C11-D11)</f>
        <v>387760570.43376958</v>
      </c>
      <c r="D12" s="27">
        <f>IF(A12&gt;$C$5,"",-PPMT($C$6/12,A12,$C$5,$C$11))</f>
        <v>12310826.238700096</v>
      </c>
      <c r="E12" s="27">
        <f>IF(A12&gt;$C$5,"",-IPMT($C$6/12,A12,$C$5,$C$4))</f>
        <v>2261936.6608636561</v>
      </c>
      <c r="F12" s="27">
        <f t="shared" si="1"/>
        <v>14572762.899563752</v>
      </c>
      <c r="H12" s="28"/>
    </row>
    <row r="13" spans="1:8" x14ac:dyDescent="0.25">
      <c r="A13" s="26">
        <f t="shared" si="2"/>
        <v>3</v>
      </c>
      <c r="B13" s="66">
        <f t="shared" si="3"/>
        <v>42595</v>
      </c>
      <c r="C13" s="27">
        <f t="shared" si="4"/>
        <v>375449744.19506949</v>
      </c>
      <c r="D13" s="27">
        <f t="shared" ref="D13:D42" si="5">IF(A13&gt;$C$5,"",-PPMT($C$6/12,A13,$C$5,$C$11))</f>
        <v>12382639.39175918</v>
      </c>
      <c r="E13" s="27">
        <f t="shared" si="0"/>
        <v>2190123.5078045721</v>
      </c>
      <c r="F13" s="27">
        <f t="shared" si="1"/>
        <v>14572762.899563752</v>
      </c>
    </row>
    <row r="14" spans="1:8" x14ac:dyDescent="0.25">
      <c r="A14" s="26">
        <f t="shared" si="2"/>
        <v>4</v>
      </c>
      <c r="B14" s="66">
        <f t="shared" si="3"/>
        <v>42626</v>
      </c>
      <c r="C14" s="27">
        <f t="shared" si="4"/>
        <v>363067104.80331033</v>
      </c>
      <c r="D14" s="27">
        <f t="shared" si="5"/>
        <v>12454871.454877773</v>
      </c>
      <c r="E14" s="27">
        <f t="shared" si="0"/>
        <v>2117891.4446859765</v>
      </c>
      <c r="F14" s="27">
        <f t="shared" si="1"/>
        <v>14572762.89956375</v>
      </c>
    </row>
    <row r="15" spans="1:8" x14ac:dyDescent="0.25">
      <c r="A15" s="26">
        <f t="shared" si="2"/>
        <v>5</v>
      </c>
      <c r="B15" s="66">
        <f t="shared" si="3"/>
        <v>42656</v>
      </c>
      <c r="C15" s="27">
        <f t="shared" si="4"/>
        <v>350612233.34843254</v>
      </c>
      <c r="D15" s="27">
        <f t="shared" si="5"/>
        <v>12527524.871697895</v>
      </c>
      <c r="E15" s="27">
        <f t="shared" si="0"/>
        <v>2045238.0278658567</v>
      </c>
      <c r="F15" s="27">
        <f t="shared" si="1"/>
        <v>14572762.899563752</v>
      </c>
    </row>
    <row r="16" spans="1:8" x14ac:dyDescent="0.25">
      <c r="A16" s="26">
        <f t="shared" si="2"/>
        <v>6</v>
      </c>
      <c r="B16" s="66">
        <f t="shared" si="3"/>
        <v>42687</v>
      </c>
      <c r="C16" s="27">
        <f t="shared" si="4"/>
        <v>338084708.47673464</v>
      </c>
      <c r="D16" s="27">
        <f t="shared" si="5"/>
        <v>12600602.100116132</v>
      </c>
      <c r="E16" s="27">
        <f t="shared" si="0"/>
        <v>1972160.7994476191</v>
      </c>
      <c r="F16" s="27">
        <f t="shared" si="1"/>
        <v>14572762.89956375</v>
      </c>
    </row>
    <row r="17" spans="1:6" x14ac:dyDescent="0.25">
      <c r="A17" s="26">
        <f t="shared" si="2"/>
        <v>7</v>
      </c>
      <c r="B17" s="66">
        <f t="shared" si="3"/>
        <v>42717</v>
      </c>
      <c r="C17" s="27">
        <f t="shared" si="4"/>
        <v>325484106.3766185</v>
      </c>
      <c r="D17" s="27">
        <f t="shared" si="5"/>
        <v>12674105.61236681</v>
      </c>
      <c r="E17" s="27">
        <f t="shared" si="0"/>
        <v>1898657.2871969417</v>
      </c>
      <c r="F17" s="27">
        <f t="shared" si="1"/>
        <v>14572762.899563752</v>
      </c>
    </row>
    <row r="18" spans="1:6" x14ac:dyDescent="0.25">
      <c r="A18" s="26">
        <f t="shared" si="2"/>
        <v>8</v>
      </c>
      <c r="B18" s="66">
        <f t="shared" si="3"/>
        <v>42748</v>
      </c>
      <c r="C18" s="27">
        <f t="shared" si="4"/>
        <v>312810000.76425171</v>
      </c>
      <c r="D18" s="27">
        <f t="shared" si="5"/>
        <v>12748037.895105617</v>
      </c>
      <c r="E18" s="27">
        <f t="shared" si="0"/>
        <v>1824725.0044581348</v>
      </c>
      <c r="F18" s="27">
        <f t="shared" si="1"/>
        <v>14572762.899563752</v>
      </c>
    </row>
    <row r="19" spans="1:6" x14ac:dyDescent="0.25">
      <c r="A19" s="26">
        <f t="shared" si="2"/>
        <v>9</v>
      </c>
      <c r="B19" s="66">
        <f t="shared" si="3"/>
        <v>42779</v>
      </c>
      <c r="C19" s="27">
        <f t="shared" si="4"/>
        <v>300061962.86914611</v>
      </c>
      <c r="D19" s="27">
        <f t="shared" si="5"/>
        <v>12822401.44949373</v>
      </c>
      <c r="E19" s="27">
        <f t="shared" si="0"/>
        <v>1750361.4500700186</v>
      </c>
      <c r="F19" s="27">
        <f t="shared" si="1"/>
        <v>14572762.899563748</v>
      </c>
    </row>
    <row r="20" spans="1:6" x14ac:dyDescent="0.25">
      <c r="A20" s="26">
        <f t="shared" si="2"/>
        <v>10</v>
      </c>
      <c r="B20" s="66">
        <f t="shared" si="3"/>
        <v>42807</v>
      </c>
      <c r="C20" s="27">
        <f t="shared" si="4"/>
        <v>287239561.4196524</v>
      </c>
      <c r="D20" s="27">
        <f t="shared" si="5"/>
        <v>12897198.791282445</v>
      </c>
      <c r="E20" s="27">
        <f t="shared" si="0"/>
        <v>1675564.1082813055</v>
      </c>
      <c r="F20" s="27">
        <f t="shared" si="1"/>
        <v>14572762.89956375</v>
      </c>
    </row>
    <row r="21" spans="1:6" x14ac:dyDescent="0.25">
      <c r="A21" s="26">
        <f t="shared" si="2"/>
        <v>11</v>
      </c>
      <c r="B21" s="66">
        <f t="shared" si="3"/>
        <v>42838</v>
      </c>
      <c r="C21" s="27">
        <f t="shared" si="4"/>
        <v>274342362.62836993</v>
      </c>
      <c r="D21" s="27">
        <f t="shared" si="5"/>
        <v>12972432.450898262</v>
      </c>
      <c r="E21" s="27">
        <f t="shared" si="0"/>
        <v>1600330.4486654911</v>
      </c>
      <c r="F21" s="27">
        <f t="shared" si="1"/>
        <v>14572762.899563752</v>
      </c>
    </row>
    <row r="22" spans="1:6" x14ac:dyDescent="0.25">
      <c r="A22" s="26">
        <f t="shared" si="2"/>
        <v>12</v>
      </c>
      <c r="B22" s="66">
        <f t="shared" si="3"/>
        <v>42868</v>
      </c>
      <c r="C22" s="27">
        <f t="shared" si="4"/>
        <v>261369930.17747167</v>
      </c>
      <c r="D22" s="27">
        <f t="shared" si="5"/>
        <v>13048104.973528501</v>
      </c>
      <c r="E22" s="27">
        <f t="shared" si="0"/>
        <v>1524657.9260352512</v>
      </c>
      <c r="F22" s="27">
        <f t="shared" si="1"/>
        <v>14572762.899563752</v>
      </c>
    </row>
    <row r="23" spans="1:6" x14ac:dyDescent="0.25">
      <c r="A23" s="26">
        <f t="shared" si="2"/>
        <v>13</v>
      </c>
      <c r="B23" s="66">
        <f t="shared" si="3"/>
        <v>42899</v>
      </c>
      <c r="C23" s="27">
        <f t="shared" si="4"/>
        <v>248321825.20394316</v>
      </c>
      <c r="D23" s="27">
        <f t="shared" si="5"/>
        <v>13124218.919207416</v>
      </c>
      <c r="E23" s="27">
        <f t="shared" si="0"/>
        <v>1448543.9803563352</v>
      </c>
      <c r="F23" s="27">
        <f t="shared" si="1"/>
        <v>14572762.899563752</v>
      </c>
    </row>
    <row r="24" spans="1:6" x14ac:dyDescent="0.25">
      <c r="A24" s="26">
        <f t="shared" si="2"/>
        <v>14</v>
      </c>
      <c r="B24" s="66">
        <f t="shared" si="3"/>
        <v>42929</v>
      </c>
      <c r="C24" s="27">
        <f t="shared" si="4"/>
        <v>235197606.28473574</v>
      </c>
      <c r="D24" s="27">
        <f t="shared" si="5"/>
        <v>13200776.862902794</v>
      </c>
      <c r="E24" s="27">
        <f t="shared" si="0"/>
        <v>1371986.0366609585</v>
      </c>
      <c r="F24" s="27">
        <f t="shared" si="1"/>
        <v>14572762.899563752</v>
      </c>
    </row>
    <row r="25" spans="1:6" x14ac:dyDescent="0.25">
      <c r="A25" s="26">
        <f t="shared" si="2"/>
        <v>15</v>
      </c>
      <c r="B25" s="66">
        <f t="shared" si="3"/>
        <v>42960</v>
      </c>
      <c r="C25" s="27">
        <f t="shared" si="4"/>
        <v>221996829.42183295</v>
      </c>
      <c r="D25" s="27">
        <f t="shared" si="5"/>
        <v>13277781.394603059</v>
      </c>
      <c r="E25" s="27">
        <f t="shared" si="0"/>
        <v>1294981.5049606923</v>
      </c>
      <c r="F25" s="27">
        <f t="shared" si="1"/>
        <v>14572762.89956375</v>
      </c>
    </row>
    <row r="26" spans="1:6" x14ac:dyDescent="0.25">
      <c r="A26" s="26">
        <f t="shared" si="2"/>
        <v>16</v>
      </c>
      <c r="B26" s="66">
        <f t="shared" si="3"/>
        <v>42991</v>
      </c>
      <c r="C26" s="27">
        <f t="shared" si="4"/>
        <v>208719048.02722991</v>
      </c>
      <c r="D26" s="27">
        <f t="shared" si="5"/>
        <v>13355235.11940491</v>
      </c>
      <c r="E26" s="27">
        <f t="shared" si="0"/>
        <v>1217527.7801588411</v>
      </c>
      <c r="F26" s="27">
        <f t="shared" si="1"/>
        <v>14572762.899563752</v>
      </c>
    </row>
    <row r="27" spans="1:6" x14ac:dyDescent="0.25">
      <c r="A27" s="26">
        <f t="shared" si="2"/>
        <v>17</v>
      </c>
      <c r="B27" s="66">
        <f t="shared" si="3"/>
        <v>43021</v>
      </c>
      <c r="C27" s="27">
        <f t="shared" si="4"/>
        <v>195363812.90782499</v>
      </c>
      <c r="D27" s="27">
        <f t="shared" si="5"/>
        <v>13433140.657601438</v>
      </c>
      <c r="E27" s="27">
        <f t="shared" si="0"/>
        <v>1139622.2419623123</v>
      </c>
      <c r="F27" s="27">
        <f t="shared" si="1"/>
        <v>14572762.89956375</v>
      </c>
    </row>
    <row r="28" spans="1:6" x14ac:dyDescent="0.25">
      <c r="A28" s="26">
        <f t="shared" si="2"/>
        <v>18</v>
      </c>
      <c r="B28" s="66">
        <f t="shared" si="3"/>
        <v>43052</v>
      </c>
      <c r="C28" s="27">
        <f t="shared" si="4"/>
        <v>181930672.25022355</v>
      </c>
      <c r="D28" s="27">
        <f t="shared" si="5"/>
        <v>13511500.644770781</v>
      </c>
      <c r="E28" s="27">
        <f t="shared" si="0"/>
        <v>1061262.2547929706</v>
      </c>
      <c r="F28" s="27">
        <f t="shared" si="1"/>
        <v>14572762.899563752</v>
      </c>
    </row>
    <row r="29" spans="1:6" x14ac:dyDescent="0.25">
      <c r="A29" s="26">
        <f t="shared" si="2"/>
        <v>19</v>
      </c>
      <c r="B29" s="66">
        <f t="shared" si="3"/>
        <v>43082</v>
      </c>
      <c r="C29" s="27">
        <f t="shared" si="4"/>
        <v>168419171.60545278</v>
      </c>
      <c r="D29" s="27">
        <f t="shared" si="5"/>
        <v>13590317.731865276</v>
      </c>
      <c r="E29" s="27">
        <f t="shared" si="0"/>
        <v>982445.16769847437</v>
      </c>
      <c r="F29" s="27">
        <f t="shared" si="1"/>
        <v>14572762.89956375</v>
      </c>
    </row>
    <row r="30" spans="1:6" x14ac:dyDescent="0.25">
      <c r="A30" s="26">
        <f t="shared" si="2"/>
        <v>20</v>
      </c>
      <c r="B30" s="66">
        <f t="shared" si="3"/>
        <v>43113</v>
      </c>
      <c r="C30" s="27">
        <f t="shared" si="4"/>
        <v>154828853.87358749</v>
      </c>
      <c r="D30" s="27">
        <f t="shared" si="5"/>
        <v>13669594.585301157</v>
      </c>
      <c r="E30" s="27">
        <f t="shared" si="0"/>
        <v>903168.31426259351</v>
      </c>
      <c r="F30" s="27">
        <f t="shared" si="1"/>
        <v>14572762.89956375</v>
      </c>
    </row>
    <row r="31" spans="1:6" x14ac:dyDescent="0.25">
      <c r="A31" s="26">
        <f t="shared" si="2"/>
        <v>21</v>
      </c>
      <c r="B31" s="66">
        <f t="shared" si="3"/>
        <v>43144</v>
      </c>
      <c r="C31" s="27">
        <f t="shared" si="4"/>
        <v>141159259.28828633</v>
      </c>
      <c r="D31" s="27">
        <f t="shared" si="5"/>
        <v>13749333.887048749</v>
      </c>
      <c r="E31" s="27">
        <f t="shared" si="0"/>
        <v>823429.01251500344</v>
      </c>
      <c r="F31" s="27">
        <f t="shared" si="1"/>
        <v>14572762.899563752</v>
      </c>
    </row>
    <row r="32" spans="1:6" x14ac:dyDescent="0.25">
      <c r="A32" s="26">
        <f t="shared" si="2"/>
        <v>22</v>
      </c>
      <c r="B32" s="66">
        <f t="shared" si="3"/>
        <v>43172</v>
      </c>
      <c r="C32" s="27">
        <f t="shared" si="4"/>
        <v>127409925.40123758</v>
      </c>
      <c r="D32" s="27">
        <f t="shared" si="5"/>
        <v>13829538.334723199</v>
      </c>
      <c r="E32" s="27">
        <f t="shared" si="0"/>
        <v>743224.56484055251</v>
      </c>
      <c r="F32" s="27">
        <f t="shared" si="1"/>
        <v>14572762.899563752</v>
      </c>
    </row>
    <row r="33" spans="1:6" x14ac:dyDescent="0.25">
      <c r="A33" s="26">
        <f t="shared" si="2"/>
        <v>23</v>
      </c>
      <c r="B33" s="66">
        <f t="shared" si="3"/>
        <v>43203</v>
      </c>
      <c r="C33" s="27">
        <f t="shared" si="4"/>
        <v>113580387.06651437</v>
      </c>
      <c r="D33" s="27">
        <f t="shared" si="5"/>
        <v>13910210.64167575</v>
      </c>
      <c r="E33" s="27">
        <f t="shared" si="0"/>
        <v>662552.25788800034</v>
      </c>
      <c r="F33" s="27">
        <f t="shared" si="1"/>
        <v>14572762.89956375</v>
      </c>
    </row>
    <row r="34" spans="1:6" x14ac:dyDescent="0.25">
      <c r="A34" s="26">
        <f t="shared" si="2"/>
        <v>24</v>
      </c>
      <c r="B34" s="66">
        <f t="shared" si="3"/>
        <v>43233</v>
      </c>
      <c r="C34" s="27">
        <f t="shared" si="4"/>
        <v>99670176.424838617</v>
      </c>
      <c r="D34" s="27">
        <f t="shared" si="5"/>
        <v>13991353.537085528</v>
      </c>
      <c r="E34" s="27">
        <f t="shared" si="0"/>
        <v>581409.36247822503</v>
      </c>
      <c r="F34" s="27">
        <f t="shared" si="1"/>
        <v>14572762.899563752</v>
      </c>
    </row>
    <row r="35" spans="1:6" x14ac:dyDescent="0.25">
      <c r="A35" s="26">
        <f t="shared" si="2"/>
        <v>25</v>
      </c>
      <c r="B35" s="66">
        <f t="shared" si="3"/>
        <v>43264</v>
      </c>
      <c r="C35" s="27">
        <f t="shared" si="4"/>
        <v>85678822.887753084</v>
      </c>
      <c r="D35" s="27">
        <f t="shared" si="5"/>
        <v>14072969.766051859</v>
      </c>
      <c r="E35" s="27">
        <f t="shared" si="0"/>
        <v>499793.13351189293</v>
      </c>
      <c r="F35" s="27">
        <f t="shared" si="1"/>
        <v>14572762.899563752</v>
      </c>
    </row>
    <row r="36" spans="1:6" x14ac:dyDescent="0.25">
      <c r="A36" s="26">
        <f t="shared" si="2"/>
        <v>26</v>
      </c>
      <c r="B36" s="66">
        <f t="shared" si="3"/>
        <v>43294</v>
      </c>
      <c r="C36" s="27">
        <f t="shared" si="4"/>
        <v>71605853.121701226</v>
      </c>
      <c r="D36" s="27">
        <f t="shared" si="5"/>
        <v>14155062.089687161</v>
      </c>
      <c r="E36" s="27">
        <f t="shared" si="0"/>
        <v>417700.80987659044</v>
      </c>
      <c r="F36" s="27">
        <f t="shared" si="1"/>
        <v>14572762.899563752</v>
      </c>
    </row>
    <row r="37" spans="1:6" x14ac:dyDescent="0.25">
      <c r="A37" s="26">
        <f t="shared" si="2"/>
        <v>27</v>
      </c>
      <c r="B37" s="66">
        <f t="shared" si="3"/>
        <v>43325</v>
      </c>
      <c r="C37" s="27">
        <f t="shared" si="4"/>
        <v>57450791.032014064</v>
      </c>
      <c r="D37" s="27">
        <f t="shared" si="5"/>
        <v>14237633.285210337</v>
      </c>
      <c r="E37" s="27">
        <f t="shared" si="0"/>
        <v>335129.61435341532</v>
      </c>
      <c r="F37" s="27">
        <f t="shared" si="1"/>
        <v>14572762.899563752</v>
      </c>
    </row>
    <row r="38" spans="1:6" x14ac:dyDescent="0.25">
      <c r="A38" s="26">
        <f t="shared" si="2"/>
        <v>28</v>
      </c>
      <c r="B38" s="66">
        <f t="shared" si="3"/>
        <v>43356</v>
      </c>
      <c r="C38" s="27">
        <f t="shared" si="4"/>
        <v>43213157.746803731</v>
      </c>
      <c r="D38" s="27">
        <f t="shared" si="5"/>
        <v>14320686.14604073</v>
      </c>
      <c r="E38" s="27">
        <f t="shared" si="0"/>
        <v>252076.75352302165</v>
      </c>
      <c r="F38" s="27">
        <f t="shared" si="1"/>
        <v>14572762.899563752</v>
      </c>
    </row>
    <row r="39" spans="1:6" x14ac:dyDescent="0.25">
      <c r="A39" s="26">
        <f t="shared" si="2"/>
        <v>29</v>
      </c>
      <c r="B39" s="66">
        <f t="shared" si="3"/>
        <v>43386</v>
      </c>
      <c r="C39" s="27">
        <f t="shared" si="4"/>
        <v>28892471.600763001</v>
      </c>
      <c r="D39" s="27">
        <f t="shared" si="5"/>
        <v>14404223.481892634</v>
      </c>
      <c r="E39" s="27">
        <f t="shared" si="0"/>
        <v>168539.41767111735</v>
      </c>
      <c r="F39" s="27">
        <f t="shared" si="1"/>
        <v>14572762.899563752</v>
      </c>
    </row>
    <row r="40" spans="1:6" x14ac:dyDescent="0.25">
      <c r="A40" s="26">
        <f t="shared" si="2"/>
        <v>30</v>
      </c>
      <c r="B40" s="66">
        <f t="shared" si="3"/>
        <v>43417</v>
      </c>
      <c r="C40" s="27">
        <f t="shared" si="4"/>
        <v>14488248.118870366</v>
      </c>
      <c r="D40" s="27">
        <f t="shared" si="5"/>
        <v>14488248.118870342</v>
      </c>
      <c r="E40" s="27">
        <f t="shared" si="0"/>
        <v>84514.780693410343</v>
      </c>
      <c r="F40" s="27">
        <f t="shared" si="1"/>
        <v>14572762.899563752</v>
      </c>
    </row>
    <row r="41" spans="1:6" x14ac:dyDescent="0.25">
      <c r="A41" s="26" t="str">
        <f t="shared" si="2"/>
        <v/>
      </c>
      <c r="B41" s="66" t="str">
        <f t="shared" si="3"/>
        <v/>
      </c>
      <c r="C41" s="27">
        <f t="shared" si="4"/>
        <v>2.4214386940002441E-8</v>
      </c>
      <c r="D41" s="27" t="str">
        <f t="shared" si="5"/>
        <v/>
      </c>
      <c r="E41" s="27" t="str">
        <f t="shared" si="0"/>
        <v/>
      </c>
      <c r="F41" s="27" t="str">
        <f t="shared" si="1"/>
        <v/>
      </c>
    </row>
    <row r="42" spans="1:6" x14ac:dyDescent="0.25">
      <c r="A42" s="26" t="str">
        <f t="shared" si="2"/>
        <v/>
      </c>
      <c r="B42" s="66" t="str">
        <f t="shared" si="3"/>
        <v/>
      </c>
      <c r="C42" s="27" t="str">
        <f t="shared" si="4"/>
        <v/>
      </c>
      <c r="D42" s="27" t="str">
        <f t="shared" si="5"/>
        <v/>
      </c>
      <c r="E42" s="27" t="str">
        <f t="shared" si="0"/>
        <v/>
      </c>
      <c r="F42" s="27" t="str">
        <f t="shared" si="1"/>
        <v/>
      </c>
    </row>
    <row r="43" spans="1:6" x14ac:dyDescent="0.25">
      <c r="A43" s="26" t="str">
        <f t="shared" si="2"/>
        <v/>
      </c>
      <c r="B43" s="66" t="str">
        <f t="shared" si="3"/>
        <v/>
      </c>
      <c r="C43" s="27" t="str">
        <f t="shared" si="4"/>
        <v/>
      </c>
      <c r="D43" s="27" t="str">
        <f t="shared" ref="D43:D70" si="6">IF(A43&gt;$C$5,"",-PPMT($C$6/12,A43,$C$5,$C$11))</f>
        <v/>
      </c>
      <c r="E43" s="27" t="str">
        <f t="shared" ref="E43:E70" si="7">IF(A43&gt;$C$5,"",-IPMT($C$6/12,A43,$C$5,$C$4))</f>
        <v/>
      </c>
      <c r="F43" s="27" t="str">
        <f t="shared" ref="F43:F70" si="8">IF(A43&gt;$C$5,"",SUM(D43:E43))</f>
        <v/>
      </c>
    </row>
    <row r="44" spans="1:6" x14ac:dyDescent="0.25">
      <c r="A44" s="26" t="str">
        <f t="shared" ref="A44:A70" si="9">IF(A43&lt;$C$5,A43+1,"")</f>
        <v/>
      </c>
      <c r="B44" s="66" t="str">
        <f t="shared" ref="B44:B70" si="10" xml:space="preserve"> IFERROR(IF($A44&gt;$C$5,"",IF(DAY(EOMONTH(B43,1))&lt;=DAY($C$8),EOMONTH(B43,1),DATE(YEAR(B43),MONTH(B43)+1,DAY($C$8)))),"No date in system")</f>
        <v/>
      </c>
      <c r="C44" s="27" t="str">
        <f t="shared" ref="C44:C70" si="11">IF(A43&gt;$C$5,"",C43-D43)</f>
        <v/>
      </c>
      <c r="D44" s="27" t="str">
        <f t="shared" si="6"/>
        <v/>
      </c>
      <c r="E44" s="27" t="str">
        <f t="shared" si="7"/>
        <v/>
      </c>
      <c r="F44" s="27" t="str">
        <f t="shared" si="8"/>
        <v/>
      </c>
    </row>
    <row r="45" spans="1:6" x14ac:dyDescent="0.25">
      <c r="A45" s="26" t="str">
        <f t="shared" si="9"/>
        <v/>
      </c>
      <c r="B45" s="66" t="str">
        <f t="shared" si="10"/>
        <v/>
      </c>
      <c r="C45" s="27" t="str">
        <f t="shared" si="11"/>
        <v/>
      </c>
      <c r="D45" s="27" t="str">
        <f t="shared" si="6"/>
        <v/>
      </c>
      <c r="E45" s="27" t="str">
        <f t="shared" si="7"/>
        <v/>
      </c>
      <c r="F45" s="27" t="str">
        <f t="shared" si="8"/>
        <v/>
      </c>
    </row>
    <row r="46" spans="1:6" x14ac:dyDescent="0.25">
      <c r="A46" s="26" t="str">
        <f t="shared" si="9"/>
        <v/>
      </c>
      <c r="B46" s="66" t="str">
        <f t="shared" si="10"/>
        <v/>
      </c>
      <c r="C46" s="27" t="str">
        <f t="shared" si="11"/>
        <v/>
      </c>
      <c r="D46" s="27" t="str">
        <f t="shared" si="6"/>
        <v/>
      </c>
      <c r="E46" s="27" t="str">
        <f t="shared" si="7"/>
        <v/>
      </c>
      <c r="F46" s="27" t="str">
        <f t="shared" si="8"/>
        <v/>
      </c>
    </row>
    <row r="47" spans="1:6" x14ac:dyDescent="0.25">
      <c r="A47" s="26" t="str">
        <f t="shared" si="9"/>
        <v/>
      </c>
      <c r="B47" s="66" t="str">
        <f t="shared" si="10"/>
        <v/>
      </c>
      <c r="C47" s="27" t="str">
        <f t="shared" si="11"/>
        <v/>
      </c>
      <c r="D47" s="27" t="str">
        <f t="shared" si="6"/>
        <v/>
      </c>
      <c r="E47" s="27" t="str">
        <f t="shared" si="7"/>
        <v/>
      </c>
      <c r="F47" s="27" t="str">
        <f t="shared" si="8"/>
        <v/>
      </c>
    </row>
    <row r="48" spans="1:6" x14ac:dyDescent="0.25">
      <c r="A48" s="26" t="str">
        <f t="shared" si="9"/>
        <v/>
      </c>
      <c r="B48" s="66" t="str">
        <f t="shared" si="10"/>
        <v/>
      </c>
      <c r="C48" s="27" t="str">
        <f t="shared" si="11"/>
        <v/>
      </c>
      <c r="D48" s="27" t="str">
        <f t="shared" si="6"/>
        <v/>
      </c>
      <c r="E48" s="27" t="str">
        <f t="shared" si="7"/>
        <v/>
      </c>
      <c r="F48" s="27" t="str">
        <f t="shared" si="8"/>
        <v/>
      </c>
    </row>
    <row r="49" spans="1:6" x14ac:dyDescent="0.25">
      <c r="A49" s="26" t="str">
        <f t="shared" si="9"/>
        <v/>
      </c>
      <c r="B49" s="66" t="str">
        <f t="shared" si="10"/>
        <v/>
      </c>
      <c r="C49" s="27" t="str">
        <f t="shared" si="11"/>
        <v/>
      </c>
      <c r="D49" s="27" t="str">
        <f t="shared" si="6"/>
        <v/>
      </c>
      <c r="E49" s="27" t="str">
        <f t="shared" si="7"/>
        <v/>
      </c>
      <c r="F49" s="27" t="str">
        <f t="shared" si="8"/>
        <v/>
      </c>
    </row>
    <row r="50" spans="1:6" x14ac:dyDescent="0.25">
      <c r="A50" s="26" t="str">
        <f t="shared" si="9"/>
        <v/>
      </c>
      <c r="B50" s="66" t="str">
        <f t="shared" si="10"/>
        <v/>
      </c>
      <c r="C50" s="27" t="str">
        <f t="shared" si="11"/>
        <v/>
      </c>
      <c r="D50" s="27" t="str">
        <f t="shared" si="6"/>
        <v/>
      </c>
      <c r="E50" s="27" t="str">
        <f t="shared" si="7"/>
        <v/>
      </c>
      <c r="F50" s="27" t="str">
        <f t="shared" si="8"/>
        <v/>
      </c>
    </row>
    <row r="51" spans="1:6" x14ac:dyDescent="0.25">
      <c r="A51" s="26" t="str">
        <f t="shared" si="9"/>
        <v/>
      </c>
      <c r="B51" s="66" t="str">
        <f t="shared" si="10"/>
        <v/>
      </c>
      <c r="C51" s="27" t="str">
        <f t="shared" si="11"/>
        <v/>
      </c>
      <c r="D51" s="27" t="str">
        <f t="shared" si="6"/>
        <v/>
      </c>
      <c r="E51" s="27" t="str">
        <f t="shared" si="7"/>
        <v/>
      </c>
      <c r="F51" s="27" t="str">
        <f t="shared" si="8"/>
        <v/>
      </c>
    </row>
    <row r="52" spans="1:6" x14ac:dyDescent="0.25">
      <c r="A52" s="26" t="str">
        <f t="shared" si="9"/>
        <v/>
      </c>
      <c r="B52" s="66" t="str">
        <f t="shared" si="10"/>
        <v/>
      </c>
      <c r="C52" s="27" t="str">
        <f t="shared" si="11"/>
        <v/>
      </c>
      <c r="D52" s="27" t="str">
        <f t="shared" si="6"/>
        <v/>
      </c>
      <c r="E52" s="27" t="str">
        <f t="shared" si="7"/>
        <v/>
      </c>
      <c r="F52" s="27" t="str">
        <f t="shared" si="8"/>
        <v/>
      </c>
    </row>
    <row r="53" spans="1:6" x14ac:dyDescent="0.25">
      <c r="A53" s="26" t="str">
        <f t="shared" si="9"/>
        <v/>
      </c>
      <c r="B53" s="66" t="str">
        <f t="shared" si="10"/>
        <v/>
      </c>
      <c r="C53" s="27" t="str">
        <f t="shared" si="11"/>
        <v/>
      </c>
      <c r="D53" s="27" t="str">
        <f t="shared" si="6"/>
        <v/>
      </c>
      <c r="E53" s="27" t="str">
        <f t="shared" si="7"/>
        <v/>
      </c>
      <c r="F53" s="27" t="str">
        <f t="shared" si="8"/>
        <v/>
      </c>
    </row>
    <row r="54" spans="1:6" x14ac:dyDescent="0.25">
      <c r="A54" s="26" t="str">
        <f t="shared" si="9"/>
        <v/>
      </c>
      <c r="B54" s="66" t="str">
        <f t="shared" si="10"/>
        <v/>
      </c>
      <c r="C54" s="27" t="str">
        <f t="shared" si="11"/>
        <v/>
      </c>
      <c r="D54" s="27" t="str">
        <f t="shared" si="6"/>
        <v/>
      </c>
      <c r="E54" s="27" t="str">
        <f t="shared" si="7"/>
        <v/>
      </c>
      <c r="F54" s="27" t="str">
        <f t="shared" si="8"/>
        <v/>
      </c>
    </row>
    <row r="55" spans="1:6" x14ac:dyDescent="0.25">
      <c r="A55" s="26" t="str">
        <f t="shared" si="9"/>
        <v/>
      </c>
      <c r="B55" s="66" t="str">
        <f t="shared" si="10"/>
        <v/>
      </c>
      <c r="C55" s="27" t="str">
        <f t="shared" si="11"/>
        <v/>
      </c>
      <c r="D55" s="27" t="str">
        <f t="shared" si="6"/>
        <v/>
      </c>
      <c r="E55" s="27" t="str">
        <f t="shared" si="7"/>
        <v/>
      </c>
      <c r="F55" s="27" t="str">
        <f t="shared" si="8"/>
        <v/>
      </c>
    </row>
    <row r="56" spans="1:6" x14ac:dyDescent="0.25">
      <c r="A56" s="26" t="str">
        <f t="shared" si="9"/>
        <v/>
      </c>
      <c r="B56" s="66" t="str">
        <f t="shared" si="10"/>
        <v/>
      </c>
      <c r="C56" s="27" t="str">
        <f t="shared" si="11"/>
        <v/>
      </c>
      <c r="D56" s="27" t="str">
        <f t="shared" si="6"/>
        <v/>
      </c>
      <c r="E56" s="27" t="str">
        <f t="shared" si="7"/>
        <v/>
      </c>
      <c r="F56" s="27" t="str">
        <f t="shared" si="8"/>
        <v/>
      </c>
    </row>
    <row r="57" spans="1:6" x14ac:dyDescent="0.25">
      <c r="A57" s="26" t="str">
        <f t="shared" si="9"/>
        <v/>
      </c>
      <c r="B57" s="66" t="str">
        <f t="shared" si="10"/>
        <v/>
      </c>
      <c r="C57" s="27" t="str">
        <f t="shared" si="11"/>
        <v/>
      </c>
      <c r="D57" s="27" t="str">
        <f t="shared" si="6"/>
        <v/>
      </c>
      <c r="E57" s="27" t="str">
        <f t="shared" si="7"/>
        <v/>
      </c>
      <c r="F57" s="27" t="str">
        <f t="shared" si="8"/>
        <v/>
      </c>
    </row>
    <row r="58" spans="1:6" x14ac:dyDescent="0.25">
      <c r="A58" s="26" t="str">
        <f t="shared" si="9"/>
        <v/>
      </c>
      <c r="B58" s="66" t="str">
        <f t="shared" si="10"/>
        <v/>
      </c>
      <c r="C58" s="27" t="str">
        <f t="shared" si="11"/>
        <v/>
      </c>
      <c r="D58" s="27" t="str">
        <f t="shared" si="6"/>
        <v/>
      </c>
      <c r="E58" s="27" t="str">
        <f t="shared" si="7"/>
        <v/>
      </c>
      <c r="F58" s="27" t="str">
        <f t="shared" si="8"/>
        <v/>
      </c>
    </row>
    <row r="59" spans="1:6" x14ac:dyDescent="0.25">
      <c r="A59" s="26" t="str">
        <f t="shared" si="9"/>
        <v/>
      </c>
      <c r="B59" s="66" t="str">
        <f t="shared" si="10"/>
        <v/>
      </c>
      <c r="C59" s="27" t="str">
        <f t="shared" si="11"/>
        <v/>
      </c>
      <c r="D59" s="27" t="str">
        <f t="shared" si="6"/>
        <v/>
      </c>
      <c r="E59" s="27" t="str">
        <f t="shared" si="7"/>
        <v/>
      </c>
      <c r="F59" s="27" t="str">
        <f t="shared" si="8"/>
        <v/>
      </c>
    </row>
    <row r="60" spans="1:6" x14ac:dyDescent="0.25">
      <c r="A60" s="26" t="str">
        <f t="shared" si="9"/>
        <v/>
      </c>
      <c r="B60" s="66" t="str">
        <f t="shared" si="10"/>
        <v/>
      </c>
      <c r="C60" s="27" t="str">
        <f t="shared" si="11"/>
        <v/>
      </c>
      <c r="D60" s="27" t="str">
        <f t="shared" si="6"/>
        <v/>
      </c>
      <c r="E60" s="27" t="str">
        <f t="shared" si="7"/>
        <v/>
      </c>
      <c r="F60" s="27" t="str">
        <f t="shared" si="8"/>
        <v/>
      </c>
    </row>
    <row r="61" spans="1:6" x14ac:dyDescent="0.25">
      <c r="A61" s="26" t="str">
        <f t="shared" si="9"/>
        <v/>
      </c>
      <c r="B61" s="66" t="str">
        <f t="shared" si="10"/>
        <v/>
      </c>
      <c r="C61" s="27" t="str">
        <f t="shared" si="11"/>
        <v/>
      </c>
      <c r="D61" s="27" t="str">
        <f t="shared" si="6"/>
        <v/>
      </c>
      <c r="E61" s="27" t="str">
        <f t="shared" si="7"/>
        <v/>
      </c>
      <c r="F61" s="27" t="str">
        <f t="shared" si="8"/>
        <v/>
      </c>
    </row>
    <row r="62" spans="1:6" x14ac:dyDescent="0.25">
      <c r="A62" s="26" t="str">
        <f t="shared" si="9"/>
        <v/>
      </c>
      <c r="B62" s="66" t="str">
        <f t="shared" si="10"/>
        <v/>
      </c>
      <c r="C62" s="27" t="str">
        <f t="shared" si="11"/>
        <v/>
      </c>
      <c r="D62" s="27" t="str">
        <f t="shared" si="6"/>
        <v/>
      </c>
      <c r="E62" s="27" t="str">
        <f t="shared" si="7"/>
        <v/>
      </c>
      <c r="F62" s="27" t="str">
        <f t="shared" si="8"/>
        <v/>
      </c>
    </row>
    <row r="63" spans="1:6" x14ac:dyDescent="0.25">
      <c r="A63" s="26" t="str">
        <f t="shared" si="9"/>
        <v/>
      </c>
      <c r="B63" s="66" t="str">
        <f t="shared" si="10"/>
        <v/>
      </c>
      <c r="C63" s="27" t="str">
        <f t="shared" si="11"/>
        <v/>
      </c>
      <c r="D63" s="27" t="str">
        <f t="shared" si="6"/>
        <v/>
      </c>
      <c r="E63" s="27" t="str">
        <f t="shared" si="7"/>
        <v/>
      </c>
      <c r="F63" s="27" t="str">
        <f t="shared" si="8"/>
        <v/>
      </c>
    </row>
    <row r="64" spans="1:6" x14ac:dyDescent="0.25">
      <c r="A64" s="26" t="str">
        <f t="shared" si="9"/>
        <v/>
      </c>
      <c r="B64" s="66" t="str">
        <f t="shared" si="10"/>
        <v/>
      </c>
      <c r="C64" s="27" t="str">
        <f t="shared" si="11"/>
        <v/>
      </c>
      <c r="D64" s="27" t="str">
        <f t="shared" si="6"/>
        <v/>
      </c>
      <c r="E64" s="27" t="str">
        <f t="shared" si="7"/>
        <v/>
      </c>
      <c r="F64" s="27" t="str">
        <f t="shared" si="8"/>
        <v/>
      </c>
    </row>
    <row r="65" spans="1:6" x14ac:dyDescent="0.25">
      <c r="A65" s="26" t="str">
        <f t="shared" si="9"/>
        <v/>
      </c>
      <c r="B65" s="66" t="str">
        <f t="shared" si="10"/>
        <v/>
      </c>
      <c r="C65" s="27" t="str">
        <f t="shared" si="11"/>
        <v/>
      </c>
      <c r="D65" s="27" t="str">
        <f t="shared" si="6"/>
        <v/>
      </c>
      <c r="E65" s="27" t="str">
        <f t="shared" si="7"/>
        <v/>
      </c>
      <c r="F65" s="27" t="str">
        <f t="shared" si="8"/>
        <v/>
      </c>
    </row>
    <row r="66" spans="1:6" x14ac:dyDescent="0.25">
      <c r="A66" s="26" t="str">
        <f t="shared" si="9"/>
        <v/>
      </c>
      <c r="B66" s="66" t="str">
        <f t="shared" si="10"/>
        <v/>
      </c>
      <c r="C66" s="27" t="str">
        <f t="shared" si="11"/>
        <v/>
      </c>
      <c r="D66" s="27" t="str">
        <f t="shared" si="6"/>
        <v/>
      </c>
      <c r="E66" s="27" t="str">
        <f t="shared" si="7"/>
        <v/>
      </c>
      <c r="F66" s="27" t="str">
        <f t="shared" si="8"/>
        <v/>
      </c>
    </row>
    <row r="67" spans="1:6" x14ac:dyDescent="0.25">
      <c r="A67" s="26" t="str">
        <f t="shared" si="9"/>
        <v/>
      </c>
      <c r="B67" s="66" t="str">
        <f t="shared" si="10"/>
        <v/>
      </c>
      <c r="C67" s="27" t="str">
        <f t="shared" si="11"/>
        <v/>
      </c>
      <c r="D67" s="27" t="str">
        <f t="shared" si="6"/>
        <v/>
      </c>
      <c r="E67" s="27" t="str">
        <f t="shared" si="7"/>
        <v/>
      </c>
      <c r="F67" s="27" t="str">
        <f t="shared" si="8"/>
        <v/>
      </c>
    </row>
    <row r="68" spans="1:6" x14ac:dyDescent="0.25">
      <c r="A68" s="26" t="str">
        <f t="shared" si="9"/>
        <v/>
      </c>
      <c r="B68" s="66" t="str">
        <f t="shared" si="10"/>
        <v/>
      </c>
      <c r="C68" s="27" t="str">
        <f t="shared" si="11"/>
        <v/>
      </c>
      <c r="D68" s="27" t="str">
        <f t="shared" si="6"/>
        <v/>
      </c>
      <c r="E68" s="27" t="str">
        <f t="shared" si="7"/>
        <v/>
      </c>
      <c r="F68" s="27" t="str">
        <f t="shared" si="8"/>
        <v/>
      </c>
    </row>
    <row r="69" spans="1:6" x14ac:dyDescent="0.25">
      <c r="A69" s="26" t="str">
        <f t="shared" si="9"/>
        <v/>
      </c>
      <c r="B69" s="66" t="str">
        <f t="shared" si="10"/>
        <v/>
      </c>
      <c r="C69" s="27" t="str">
        <f t="shared" si="11"/>
        <v/>
      </c>
      <c r="D69" s="27" t="str">
        <f t="shared" si="6"/>
        <v/>
      </c>
      <c r="E69" s="27" t="str">
        <f t="shared" si="7"/>
        <v/>
      </c>
      <c r="F69" s="27" t="str">
        <f t="shared" si="8"/>
        <v/>
      </c>
    </row>
    <row r="70" spans="1:6" x14ac:dyDescent="0.25">
      <c r="A70" s="26" t="str">
        <f t="shared" si="9"/>
        <v/>
      </c>
      <c r="B70" s="66" t="str">
        <f t="shared" si="10"/>
        <v/>
      </c>
      <c r="C70" s="27" t="str">
        <f t="shared" si="11"/>
        <v/>
      </c>
      <c r="D70" s="27" t="str">
        <f t="shared" si="6"/>
        <v/>
      </c>
      <c r="E70" s="27" t="str">
        <f t="shared" si="7"/>
        <v/>
      </c>
      <c r="F70" s="27" t="str">
        <f t="shared" si="8"/>
        <v/>
      </c>
    </row>
  </sheetData>
  <protectedRanges>
    <protectedRange sqref="C6" name="Range1_2"/>
    <protectedRange sqref="C7:C8" name="Range1_1_1"/>
    <protectedRange sqref="B12:B70" name="Range1_1_1_4_1_1"/>
    <protectedRange sqref="B11" name="Range1_1_1_3_1_1_1_1"/>
  </protectedRanges>
  <mergeCells count="2">
    <mergeCell ref="A1:F1"/>
    <mergeCell ref="A2:F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showGridLines="0" workbookViewId="0">
      <selection activeCell="C5" sqref="C5"/>
    </sheetView>
  </sheetViews>
  <sheetFormatPr defaultRowHeight="15" x14ac:dyDescent="0.25"/>
  <cols>
    <col min="1" max="1" width="6" style="61" customWidth="1"/>
    <col min="2" max="2" width="18.28515625" style="62" customWidth="1"/>
    <col min="3" max="3" width="14.5703125" style="62" customWidth="1"/>
    <col min="4" max="4" width="13.85546875" style="62" customWidth="1"/>
    <col min="5" max="5" width="12.28515625" style="62" customWidth="1"/>
    <col min="6" max="6" width="13.5703125" style="62" customWidth="1"/>
    <col min="7" max="7" width="15" style="62" customWidth="1"/>
    <col min="8" max="8" width="15.28515625" customWidth="1"/>
  </cols>
  <sheetData>
    <row r="1" spans="1:8" s="1" customFormat="1" ht="20.25" customHeight="1" x14ac:dyDescent="0.3">
      <c r="A1" s="114" t="s">
        <v>32</v>
      </c>
      <c r="B1" s="114"/>
      <c r="C1" s="114"/>
      <c r="D1" s="114"/>
      <c r="E1" s="114"/>
      <c r="F1" s="114"/>
      <c r="G1" s="114"/>
      <c r="H1" t="s">
        <v>38</v>
      </c>
    </row>
    <row r="2" spans="1:8" s="1" customFormat="1" ht="15.75" x14ac:dyDescent="0.25">
      <c r="A2" s="115" t="s">
        <v>35</v>
      </c>
      <c r="B2" s="115"/>
      <c r="C2" s="115"/>
      <c r="D2" s="115"/>
      <c r="E2" s="115"/>
      <c r="F2" s="115"/>
      <c r="G2" s="115"/>
      <c r="H2"/>
    </row>
    <row r="3" spans="1:8" s="1" customFormat="1" ht="16.5" x14ac:dyDescent="0.25">
      <c r="A3" s="40"/>
      <c r="B3" s="40"/>
      <c r="C3" s="40"/>
      <c r="D3" s="40"/>
      <c r="E3" s="40"/>
      <c r="F3" s="40"/>
      <c r="G3" s="40"/>
      <c r="H3" s="2"/>
    </row>
    <row r="4" spans="1:8" s="1" customFormat="1" ht="15.75" customHeight="1" x14ac:dyDescent="0.25">
      <c r="A4" s="72" t="s">
        <v>9</v>
      </c>
      <c r="B4" s="41"/>
      <c r="C4" s="23">
        <v>400000000</v>
      </c>
      <c r="D4" s="42"/>
      <c r="E4" s="43"/>
      <c r="F4" s="44"/>
      <c r="G4" s="45"/>
      <c r="H4" s="3"/>
    </row>
    <row r="5" spans="1:8" s="1" customFormat="1" ht="15.75" customHeight="1" x14ac:dyDescent="0.25">
      <c r="A5" s="72" t="s">
        <v>10</v>
      </c>
      <c r="B5" s="41"/>
      <c r="C5" s="24">
        <v>12</v>
      </c>
      <c r="D5" s="42"/>
      <c r="E5" s="46" t="s">
        <v>59</v>
      </c>
      <c r="F5" s="44"/>
      <c r="G5" s="45"/>
      <c r="H5" s="3"/>
    </row>
    <row r="6" spans="1:8" s="1" customFormat="1" ht="15.75" customHeight="1" x14ac:dyDescent="0.25">
      <c r="A6" s="47" t="s">
        <v>40</v>
      </c>
      <c r="B6" s="41"/>
      <c r="C6" s="33">
        <v>7.0000000000000007E-2</v>
      </c>
      <c r="D6" s="48" t="s">
        <v>7</v>
      </c>
      <c r="E6" s="49" t="s">
        <v>29</v>
      </c>
      <c r="F6" s="50"/>
      <c r="G6" s="51">
        <f ca="1">SUM(F11:F70)/($C$5*$C$4)</f>
        <v>8.4524745054226236E-3</v>
      </c>
      <c r="H6" s="3"/>
    </row>
    <row r="7" spans="1:8" s="1" customFormat="1" ht="15.75" customHeight="1" x14ac:dyDescent="0.25">
      <c r="A7" s="12" t="s">
        <v>44</v>
      </c>
      <c r="B7" s="41"/>
      <c r="C7" s="25">
        <f ca="1">NOW()</f>
        <v>42577.361573379632</v>
      </c>
      <c r="D7" s="48"/>
      <c r="E7" s="49" t="s">
        <v>30</v>
      </c>
      <c r="F7" s="53"/>
      <c r="G7" s="51">
        <f ca="1">G6*12</f>
        <v>0.10142969406507149</v>
      </c>
      <c r="H7" s="3"/>
    </row>
    <row r="8" spans="1:8" s="1" customFormat="1" ht="16.5" customHeight="1" x14ac:dyDescent="0.25">
      <c r="A8" s="12" t="s">
        <v>45</v>
      </c>
      <c r="B8" s="41"/>
      <c r="C8" s="25">
        <v>42931</v>
      </c>
      <c r="D8" s="52"/>
      <c r="E8" s="52"/>
      <c r="F8" s="52"/>
      <c r="G8" s="52"/>
      <c r="H8" s="4"/>
    </row>
    <row r="9" spans="1:8" s="1" customFormat="1" ht="16.5" customHeight="1" x14ac:dyDescent="0.25">
      <c r="A9" s="54"/>
      <c r="B9" s="55"/>
      <c r="C9" s="56"/>
      <c r="D9" s="56"/>
      <c r="E9" s="74">
        <f>SUM(E11:E70)</f>
        <v>399999999.99999994</v>
      </c>
      <c r="F9" s="74">
        <f ca="1">SUM(F11:F70)</f>
        <v>40571877.62602859</v>
      </c>
      <c r="G9" s="74">
        <f ca="1">SUM(G11:G70)</f>
        <v>440571877.62602866</v>
      </c>
      <c r="H9"/>
    </row>
    <row r="10" spans="1:8" s="1" customFormat="1" x14ac:dyDescent="0.25">
      <c r="A10" s="57" t="s">
        <v>34</v>
      </c>
      <c r="B10" s="57" t="s">
        <v>31</v>
      </c>
      <c r="C10" s="57" t="s">
        <v>2</v>
      </c>
      <c r="D10" s="57" t="s">
        <v>3</v>
      </c>
      <c r="E10" s="57" t="s">
        <v>4</v>
      </c>
      <c r="F10" s="57" t="s">
        <v>5</v>
      </c>
      <c r="G10" s="57" t="s">
        <v>6</v>
      </c>
      <c r="H10" s="31"/>
    </row>
    <row r="11" spans="1:8" s="1" customFormat="1" x14ac:dyDescent="0.25">
      <c r="A11" s="58">
        <v>1</v>
      </c>
      <c r="B11" s="59">
        <f xml:space="preserve"> IFERROR(IF(DAY(EOMONTH(C8,1))&lt;=DAY(C8),EOMONTH(C8,1),DATE(YEAR(C8),MONTH(C8),DAY(C8))),"No date in system")</f>
        <v>42931</v>
      </c>
      <c r="C11" s="60">
        <f ca="1">C8-C7</f>
        <v>353.63842662036768</v>
      </c>
      <c r="D11" s="60">
        <f>C4</f>
        <v>400000000</v>
      </c>
      <c r="E11" s="60">
        <f>$C$4/$C$5</f>
        <v>33333333.333333332</v>
      </c>
      <c r="F11" s="89">
        <f ca="1">IF(A11&gt;$C$5,"",D11*($C$6/360*C11))</f>
        <v>27505210.959361929</v>
      </c>
      <c r="G11" s="60">
        <f ca="1">SUM(E11:F11)</f>
        <v>60838544.292695262</v>
      </c>
      <c r="H11" s="31"/>
    </row>
    <row r="12" spans="1:8" s="1" customFormat="1" x14ac:dyDescent="0.25">
      <c r="A12" s="58">
        <f>IFERROR(IF(A11+1&lt;=$C$5,A11+1,""),"")</f>
        <v>2</v>
      </c>
      <c r="B12" s="59">
        <f t="shared" ref="B12:B43" si="0" xml:space="preserve"> IFERROR(IF(A12&gt;$C$5,"",IF(DAY(EOMONTH(B11,1))&lt;=DAY($C$8),EOMONTH(B11,1),DATE(YEAR(B11),MONTH(B11)+1,DAY($C$8)))),"No date in system")</f>
        <v>42962</v>
      </c>
      <c r="C12" s="60">
        <f>IF(A12&gt;$C$5,"",B12-B11)</f>
        <v>31</v>
      </c>
      <c r="D12" s="60">
        <f>IF(A12&gt;$C$5,"",D11-E11)</f>
        <v>366666666.66666669</v>
      </c>
      <c r="E12" s="60">
        <f>IF(A12&gt;$C$5,"",$C$4/$C$5)</f>
        <v>33333333.333333332</v>
      </c>
      <c r="F12" s="89">
        <f t="shared" ref="F12:F70" si="1">IF(A12&gt;$C$5,"",D12*($C$6/360*C12))</f>
        <v>2210185.1851851856</v>
      </c>
      <c r="G12" s="60">
        <f>IF(A12&gt;$C$5,"",SUM(E12:F12))</f>
        <v>35543518.518518515</v>
      </c>
      <c r="H12" s="31"/>
    </row>
    <row r="13" spans="1:8" s="1" customFormat="1" x14ac:dyDescent="0.25">
      <c r="A13" s="58">
        <f t="shared" ref="A13:A70" si="2">IFERROR(IF(A12+1&lt;=$C$5,A12+1,""),"")</f>
        <v>3</v>
      </c>
      <c r="B13" s="59">
        <f t="shared" si="0"/>
        <v>42993</v>
      </c>
      <c r="C13" s="60">
        <f t="shared" ref="C13:C70" si="3">IF(A13&gt;$C$5,"",B13-B12)</f>
        <v>31</v>
      </c>
      <c r="D13" s="60">
        <f t="shared" ref="D13:D70" si="4">IF(A13&gt;$C$5,"",D12-E12)</f>
        <v>333333333.33333337</v>
      </c>
      <c r="E13" s="60">
        <f t="shared" ref="E13:E70" si="5">IF(A13&gt;$C$5,"",$C$4/$C$5)</f>
        <v>33333333.333333332</v>
      </c>
      <c r="F13" s="89">
        <f t="shared" si="1"/>
        <v>2009259.2592592598</v>
      </c>
      <c r="G13" s="60">
        <f t="shared" ref="G13:G70" si="6">IF(A13&gt;$C$5,"",SUM(E13:F13))</f>
        <v>35342592.59259259</v>
      </c>
      <c r="H13" s="31"/>
    </row>
    <row r="14" spans="1:8" s="1" customFormat="1" x14ac:dyDescent="0.25">
      <c r="A14" s="58">
        <f t="shared" si="2"/>
        <v>4</v>
      </c>
      <c r="B14" s="59">
        <f t="shared" si="0"/>
        <v>43023</v>
      </c>
      <c r="C14" s="60">
        <f t="shared" si="3"/>
        <v>30</v>
      </c>
      <c r="D14" s="60">
        <f t="shared" si="4"/>
        <v>300000000.00000006</v>
      </c>
      <c r="E14" s="60">
        <f t="shared" si="5"/>
        <v>33333333.333333332</v>
      </c>
      <c r="F14" s="89">
        <f t="shared" si="1"/>
        <v>1750000.0000000005</v>
      </c>
      <c r="G14" s="60">
        <f t="shared" si="6"/>
        <v>35083333.333333336</v>
      </c>
      <c r="H14" s="31"/>
    </row>
    <row r="15" spans="1:8" s="1" customFormat="1" x14ac:dyDescent="0.25">
      <c r="A15" s="58">
        <f t="shared" si="2"/>
        <v>5</v>
      </c>
      <c r="B15" s="59">
        <f t="shared" si="0"/>
        <v>43054</v>
      </c>
      <c r="C15" s="60">
        <f t="shared" si="3"/>
        <v>31</v>
      </c>
      <c r="D15" s="60">
        <f t="shared" si="4"/>
        <v>266666666.66666672</v>
      </c>
      <c r="E15" s="60">
        <f t="shared" si="5"/>
        <v>33333333.333333332</v>
      </c>
      <c r="F15" s="89">
        <f t="shared" si="1"/>
        <v>1607407.4074074079</v>
      </c>
      <c r="G15" s="60">
        <f t="shared" si="6"/>
        <v>34940740.740740739</v>
      </c>
      <c r="H15" s="31"/>
    </row>
    <row r="16" spans="1:8" s="1" customFormat="1" x14ac:dyDescent="0.25">
      <c r="A16" s="58">
        <f t="shared" si="2"/>
        <v>6</v>
      </c>
      <c r="B16" s="59">
        <f t="shared" si="0"/>
        <v>43084</v>
      </c>
      <c r="C16" s="60">
        <f t="shared" si="3"/>
        <v>30</v>
      </c>
      <c r="D16" s="60">
        <f t="shared" si="4"/>
        <v>233333333.33333337</v>
      </c>
      <c r="E16" s="60">
        <f t="shared" si="5"/>
        <v>33333333.333333332</v>
      </c>
      <c r="F16" s="89">
        <f t="shared" si="1"/>
        <v>1361111.1111111115</v>
      </c>
      <c r="G16" s="60">
        <f t="shared" si="6"/>
        <v>34694444.44444444</v>
      </c>
      <c r="H16" s="31"/>
    </row>
    <row r="17" spans="1:8" s="1" customFormat="1" x14ac:dyDescent="0.25">
      <c r="A17" s="58">
        <f t="shared" si="2"/>
        <v>7</v>
      </c>
      <c r="B17" s="59">
        <f t="shared" si="0"/>
        <v>43115</v>
      </c>
      <c r="C17" s="60">
        <f t="shared" si="3"/>
        <v>31</v>
      </c>
      <c r="D17" s="60">
        <f t="shared" si="4"/>
        <v>200000000.00000003</v>
      </c>
      <c r="E17" s="60">
        <f t="shared" si="5"/>
        <v>33333333.333333332</v>
      </c>
      <c r="F17" s="89">
        <f t="shared" si="1"/>
        <v>1205555.555555556</v>
      </c>
      <c r="G17" s="60">
        <f t="shared" si="6"/>
        <v>34538888.888888888</v>
      </c>
      <c r="H17" s="31"/>
    </row>
    <row r="18" spans="1:8" s="1" customFormat="1" x14ac:dyDescent="0.25">
      <c r="A18" s="58">
        <f t="shared" si="2"/>
        <v>8</v>
      </c>
      <c r="B18" s="59">
        <f t="shared" si="0"/>
        <v>43146</v>
      </c>
      <c r="C18" s="60">
        <f t="shared" si="3"/>
        <v>31</v>
      </c>
      <c r="D18" s="60">
        <f t="shared" si="4"/>
        <v>166666666.66666669</v>
      </c>
      <c r="E18" s="60">
        <f t="shared" si="5"/>
        <v>33333333.333333332</v>
      </c>
      <c r="F18" s="89">
        <f t="shared" si="1"/>
        <v>1004629.6296296299</v>
      </c>
      <c r="G18" s="60">
        <f t="shared" si="6"/>
        <v>34337962.962962963</v>
      </c>
      <c r="H18" s="31"/>
    </row>
    <row r="19" spans="1:8" s="1" customFormat="1" x14ac:dyDescent="0.25">
      <c r="A19" s="58">
        <f t="shared" si="2"/>
        <v>9</v>
      </c>
      <c r="B19" s="59">
        <f t="shared" si="0"/>
        <v>43174</v>
      </c>
      <c r="C19" s="60">
        <f t="shared" si="3"/>
        <v>28</v>
      </c>
      <c r="D19" s="60">
        <f t="shared" si="4"/>
        <v>133333333.33333336</v>
      </c>
      <c r="E19" s="60">
        <f t="shared" si="5"/>
        <v>33333333.333333332</v>
      </c>
      <c r="F19" s="89">
        <f t="shared" si="1"/>
        <v>725925.92592592607</v>
      </c>
      <c r="G19" s="60">
        <f t="shared" si="6"/>
        <v>34059259.259259261</v>
      </c>
      <c r="H19" s="31"/>
    </row>
    <row r="20" spans="1:8" s="1" customFormat="1" x14ac:dyDescent="0.25">
      <c r="A20" s="58">
        <f t="shared" si="2"/>
        <v>10</v>
      </c>
      <c r="B20" s="59">
        <f t="shared" si="0"/>
        <v>43205</v>
      </c>
      <c r="C20" s="60">
        <f t="shared" si="3"/>
        <v>31</v>
      </c>
      <c r="D20" s="60">
        <f t="shared" si="4"/>
        <v>100000000.00000003</v>
      </c>
      <c r="E20" s="60">
        <f t="shared" si="5"/>
        <v>33333333.333333332</v>
      </c>
      <c r="F20" s="89">
        <f t="shared" si="1"/>
        <v>602777.77777777798</v>
      </c>
      <c r="G20" s="60">
        <f t="shared" si="6"/>
        <v>33936111.111111112</v>
      </c>
      <c r="H20" s="31"/>
    </row>
    <row r="21" spans="1:8" s="1" customFormat="1" x14ac:dyDescent="0.25">
      <c r="A21" s="58">
        <f t="shared" si="2"/>
        <v>11</v>
      </c>
      <c r="B21" s="59">
        <f t="shared" si="0"/>
        <v>43235</v>
      </c>
      <c r="C21" s="60">
        <f t="shared" si="3"/>
        <v>30</v>
      </c>
      <c r="D21" s="60">
        <f t="shared" si="4"/>
        <v>66666666.666666701</v>
      </c>
      <c r="E21" s="60">
        <f t="shared" si="5"/>
        <v>33333333.333333332</v>
      </c>
      <c r="F21" s="89">
        <f t="shared" si="1"/>
        <v>388888.88888888911</v>
      </c>
      <c r="G21" s="60">
        <f t="shared" si="6"/>
        <v>33722222.222222224</v>
      </c>
      <c r="H21" s="31"/>
    </row>
    <row r="22" spans="1:8" s="1" customFormat="1" x14ac:dyDescent="0.25">
      <c r="A22" s="58">
        <f t="shared" si="2"/>
        <v>12</v>
      </c>
      <c r="B22" s="59">
        <f t="shared" si="0"/>
        <v>43266</v>
      </c>
      <c r="C22" s="60">
        <f t="shared" si="3"/>
        <v>31</v>
      </c>
      <c r="D22" s="60">
        <f t="shared" si="4"/>
        <v>33333333.333333369</v>
      </c>
      <c r="E22" s="60">
        <f t="shared" si="5"/>
        <v>33333333.333333332</v>
      </c>
      <c r="F22" s="89">
        <f t="shared" si="1"/>
        <v>200925.92592592616</v>
      </c>
      <c r="G22" s="60">
        <f t="shared" si="6"/>
        <v>33534259.259259257</v>
      </c>
      <c r="H22" s="31"/>
    </row>
    <row r="23" spans="1:8" s="1" customFormat="1" x14ac:dyDescent="0.25">
      <c r="A23" s="58" t="str">
        <f t="shared" si="2"/>
        <v/>
      </c>
      <c r="B23" s="59" t="str">
        <f t="shared" si="0"/>
        <v/>
      </c>
      <c r="C23" s="60" t="str">
        <f t="shared" si="3"/>
        <v/>
      </c>
      <c r="D23" s="60" t="str">
        <f t="shared" si="4"/>
        <v/>
      </c>
      <c r="E23" s="60" t="str">
        <f t="shared" si="5"/>
        <v/>
      </c>
      <c r="F23" s="89" t="str">
        <f t="shared" si="1"/>
        <v/>
      </c>
      <c r="G23" s="60" t="str">
        <f t="shared" si="6"/>
        <v/>
      </c>
      <c r="H23" s="31"/>
    </row>
    <row r="24" spans="1:8" s="1" customFormat="1" x14ac:dyDescent="0.25">
      <c r="A24" s="58" t="str">
        <f t="shared" si="2"/>
        <v/>
      </c>
      <c r="B24" s="59" t="str">
        <f t="shared" si="0"/>
        <v/>
      </c>
      <c r="C24" s="60" t="str">
        <f t="shared" si="3"/>
        <v/>
      </c>
      <c r="D24" s="60" t="str">
        <f t="shared" si="4"/>
        <v/>
      </c>
      <c r="E24" s="60" t="str">
        <f t="shared" si="5"/>
        <v/>
      </c>
      <c r="F24" s="89" t="str">
        <f t="shared" si="1"/>
        <v/>
      </c>
      <c r="G24" s="60" t="str">
        <f t="shared" si="6"/>
        <v/>
      </c>
      <c r="H24" s="31"/>
    </row>
    <row r="25" spans="1:8" s="1" customFormat="1" x14ac:dyDescent="0.25">
      <c r="A25" s="58" t="str">
        <f t="shared" si="2"/>
        <v/>
      </c>
      <c r="B25" s="59" t="str">
        <f t="shared" si="0"/>
        <v/>
      </c>
      <c r="C25" s="60" t="str">
        <f t="shared" si="3"/>
        <v/>
      </c>
      <c r="D25" s="60" t="str">
        <f t="shared" si="4"/>
        <v/>
      </c>
      <c r="E25" s="60" t="str">
        <f t="shared" si="5"/>
        <v/>
      </c>
      <c r="F25" s="89" t="str">
        <f t="shared" si="1"/>
        <v/>
      </c>
      <c r="G25" s="60" t="str">
        <f t="shared" si="6"/>
        <v/>
      </c>
      <c r="H25" s="31"/>
    </row>
    <row r="26" spans="1:8" s="1" customFormat="1" x14ac:dyDescent="0.25">
      <c r="A26" s="58" t="str">
        <f t="shared" si="2"/>
        <v/>
      </c>
      <c r="B26" s="59" t="str">
        <f t="shared" si="0"/>
        <v/>
      </c>
      <c r="C26" s="60" t="str">
        <f t="shared" si="3"/>
        <v/>
      </c>
      <c r="D26" s="60" t="str">
        <f t="shared" si="4"/>
        <v/>
      </c>
      <c r="E26" s="60" t="str">
        <f t="shared" si="5"/>
        <v/>
      </c>
      <c r="F26" s="89" t="str">
        <f t="shared" si="1"/>
        <v/>
      </c>
      <c r="G26" s="60" t="str">
        <f t="shared" si="6"/>
        <v/>
      </c>
      <c r="H26" s="31"/>
    </row>
    <row r="27" spans="1:8" s="1" customFormat="1" x14ac:dyDescent="0.25">
      <c r="A27" s="58" t="str">
        <f t="shared" si="2"/>
        <v/>
      </c>
      <c r="B27" s="59" t="str">
        <f t="shared" si="0"/>
        <v/>
      </c>
      <c r="C27" s="60" t="str">
        <f t="shared" si="3"/>
        <v/>
      </c>
      <c r="D27" s="60" t="str">
        <f t="shared" si="4"/>
        <v/>
      </c>
      <c r="E27" s="60" t="str">
        <f t="shared" si="5"/>
        <v/>
      </c>
      <c r="F27" s="89" t="str">
        <f t="shared" si="1"/>
        <v/>
      </c>
      <c r="G27" s="60" t="str">
        <f t="shared" si="6"/>
        <v/>
      </c>
      <c r="H27" s="31"/>
    </row>
    <row r="28" spans="1:8" s="1" customFormat="1" x14ac:dyDescent="0.25">
      <c r="A28" s="58" t="str">
        <f t="shared" si="2"/>
        <v/>
      </c>
      <c r="B28" s="59" t="str">
        <f t="shared" si="0"/>
        <v/>
      </c>
      <c r="C28" s="60" t="str">
        <f t="shared" si="3"/>
        <v/>
      </c>
      <c r="D28" s="60" t="str">
        <f t="shared" si="4"/>
        <v/>
      </c>
      <c r="E28" s="60" t="str">
        <f t="shared" si="5"/>
        <v/>
      </c>
      <c r="F28" s="89" t="str">
        <f t="shared" si="1"/>
        <v/>
      </c>
      <c r="G28" s="60" t="str">
        <f t="shared" si="6"/>
        <v/>
      </c>
      <c r="H28" s="31"/>
    </row>
    <row r="29" spans="1:8" s="1" customFormat="1" x14ac:dyDescent="0.25">
      <c r="A29" s="58" t="str">
        <f t="shared" si="2"/>
        <v/>
      </c>
      <c r="B29" s="59" t="str">
        <f t="shared" si="0"/>
        <v/>
      </c>
      <c r="C29" s="60" t="str">
        <f t="shared" si="3"/>
        <v/>
      </c>
      <c r="D29" s="60" t="str">
        <f t="shared" si="4"/>
        <v/>
      </c>
      <c r="E29" s="60" t="str">
        <f t="shared" si="5"/>
        <v/>
      </c>
      <c r="F29" s="89" t="str">
        <f t="shared" si="1"/>
        <v/>
      </c>
      <c r="G29" s="60" t="str">
        <f t="shared" si="6"/>
        <v/>
      </c>
      <c r="H29" s="31"/>
    </row>
    <row r="30" spans="1:8" s="1" customFormat="1" x14ac:dyDescent="0.25">
      <c r="A30" s="58" t="str">
        <f t="shared" si="2"/>
        <v/>
      </c>
      <c r="B30" s="59" t="str">
        <f t="shared" si="0"/>
        <v/>
      </c>
      <c r="C30" s="60" t="str">
        <f t="shared" si="3"/>
        <v/>
      </c>
      <c r="D30" s="60" t="str">
        <f t="shared" si="4"/>
        <v/>
      </c>
      <c r="E30" s="60" t="str">
        <f t="shared" si="5"/>
        <v/>
      </c>
      <c r="F30" s="89" t="str">
        <f t="shared" si="1"/>
        <v/>
      </c>
      <c r="G30" s="60" t="str">
        <f t="shared" si="6"/>
        <v/>
      </c>
      <c r="H30" s="31"/>
    </row>
    <row r="31" spans="1:8" s="1" customFormat="1" x14ac:dyDescent="0.25">
      <c r="A31" s="58" t="str">
        <f t="shared" si="2"/>
        <v/>
      </c>
      <c r="B31" s="59" t="str">
        <f t="shared" si="0"/>
        <v/>
      </c>
      <c r="C31" s="60" t="str">
        <f t="shared" si="3"/>
        <v/>
      </c>
      <c r="D31" s="60" t="str">
        <f t="shared" si="4"/>
        <v/>
      </c>
      <c r="E31" s="60" t="str">
        <f t="shared" si="5"/>
        <v/>
      </c>
      <c r="F31" s="89" t="str">
        <f t="shared" si="1"/>
        <v/>
      </c>
      <c r="G31" s="60" t="str">
        <f t="shared" si="6"/>
        <v/>
      </c>
      <c r="H31" s="31"/>
    </row>
    <row r="32" spans="1:8" s="1" customFormat="1" x14ac:dyDescent="0.25">
      <c r="A32" s="58" t="str">
        <f t="shared" si="2"/>
        <v/>
      </c>
      <c r="B32" s="59" t="str">
        <f t="shared" si="0"/>
        <v/>
      </c>
      <c r="C32" s="60" t="str">
        <f t="shared" si="3"/>
        <v/>
      </c>
      <c r="D32" s="60" t="str">
        <f t="shared" si="4"/>
        <v/>
      </c>
      <c r="E32" s="60" t="str">
        <f t="shared" si="5"/>
        <v/>
      </c>
      <c r="F32" s="89" t="str">
        <f t="shared" si="1"/>
        <v/>
      </c>
      <c r="G32" s="60" t="str">
        <f t="shared" si="6"/>
        <v/>
      </c>
      <c r="H32" s="31"/>
    </row>
    <row r="33" spans="1:8" s="1" customFormat="1" x14ac:dyDescent="0.25">
      <c r="A33" s="58" t="str">
        <f t="shared" si="2"/>
        <v/>
      </c>
      <c r="B33" s="59" t="str">
        <f t="shared" si="0"/>
        <v/>
      </c>
      <c r="C33" s="60" t="str">
        <f t="shared" si="3"/>
        <v/>
      </c>
      <c r="D33" s="60" t="str">
        <f t="shared" si="4"/>
        <v/>
      </c>
      <c r="E33" s="60" t="str">
        <f t="shared" si="5"/>
        <v/>
      </c>
      <c r="F33" s="89" t="str">
        <f t="shared" si="1"/>
        <v/>
      </c>
      <c r="G33" s="60" t="str">
        <f t="shared" si="6"/>
        <v/>
      </c>
      <c r="H33" s="31"/>
    </row>
    <row r="34" spans="1:8" s="1" customFormat="1" x14ac:dyDescent="0.25">
      <c r="A34" s="58" t="str">
        <f t="shared" si="2"/>
        <v/>
      </c>
      <c r="B34" s="59" t="str">
        <f t="shared" si="0"/>
        <v/>
      </c>
      <c r="C34" s="60" t="str">
        <f t="shared" si="3"/>
        <v/>
      </c>
      <c r="D34" s="60" t="str">
        <f t="shared" si="4"/>
        <v/>
      </c>
      <c r="E34" s="60" t="str">
        <f t="shared" si="5"/>
        <v/>
      </c>
      <c r="F34" s="89" t="str">
        <f t="shared" si="1"/>
        <v/>
      </c>
      <c r="G34" s="60" t="str">
        <f t="shared" si="6"/>
        <v/>
      </c>
      <c r="H34" s="31"/>
    </row>
    <row r="35" spans="1:8" s="1" customFormat="1" x14ac:dyDescent="0.25">
      <c r="A35" s="58" t="str">
        <f t="shared" si="2"/>
        <v/>
      </c>
      <c r="B35" s="59" t="str">
        <f t="shared" si="0"/>
        <v/>
      </c>
      <c r="C35" s="60" t="str">
        <f t="shared" si="3"/>
        <v/>
      </c>
      <c r="D35" s="60" t="str">
        <f t="shared" si="4"/>
        <v/>
      </c>
      <c r="E35" s="60" t="str">
        <f t="shared" si="5"/>
        <v/>
      </c>
      <c r="F35" s="89" t="str">
        <f t="shared" si="1"/>
        <v/>
      </c>
      <c r="G35" s="60" t="str">
        <f t="shared" si="6"/>
        <v/>
      </c>
      <c r="H35" s="31"/>
    </row>
    <row r="36" spans="1:8" s="1" customFormat="1" x14ac:dyDescent="0.25">
      <c r="A36" s="58" t="str">
        <f t="shared" si="2"/>
        <v/>
      </c>
      <c r="B36" s="59" t="str">
        <f t="shared" si="0"/>
        <v/>
      </c>
      <c r="C36" s="60" t="str">
        <f t="shared" si="3"/>
        <v/>
      </c>
      <c r="D36" s="60" t="str">
        <f t="shared" si="4"/>
        <v/>
      </c>
      <c r="E36" s="60" t="str">
        <f t="shared" si="5"/>
        <v/>
      </c>
      <c r="F36" s="89" t="str">
        <f t="shared" si="1"/>
        <v/>
      </c>
      <c r="G36" s="60" t="str">
        <f t="shared" si="6"/>
        <v/>
      </c>
      <c r="H36" s="31"/>
    </row>
    <row r="37" spans="1:8" s="1" customFormat="1" x14ac:dyDescent="0.25">
      <c r="A37" s="58" t="str">
        <f t="shared" si="2"/>
        <v/>
      </c>
      <c r="B37" s="59" t="str">
        <f t="shared" si="0"/>
        <v/>
      </c>
      <c r="C37" s="60" t="str">
        <f t="shared" si="3"/>
        <v/>
      </c>
      <c r="D37" s="60" t="str">
        <f t="shared" si="4"/>
        <v/>
      </c>
      <c r="E37" s="60" t="str">
        <f t="shared" si="5"/>
        <v/>
      </c>
      <c r="F37" s="89" t="str">
        <f t="shared" si="1"/>
        <v/>
      </c>
      <c r="G37" s="60" t="str">
        <f t="shared" si="6"/>
        <v/>
      </c>
      <c r="H37" s="31"/>
    </row>
    <row r="38" spans="1:8" s="1" customFormat="1" x14ac:dyDescent="0.25">
      <c r="A38" s="58" t="str">
        <f t="shared" si="2"/>
        <v/>
      </c>
      <c r="B38" s="59" t="str">
        <f t="shared" si="0"/>
        <v/>
      </c>
      <c r="C38" s="60" t="str">
        <f t="shared" si="3"/>
        <v/>
      </c>
      <c r="D38" s="60" t="str">
        <f t="shared" si="4"/>
        <v/>
      </c>
      <c r="E38" s="60" t="str">
        <f t="shared" si="5"/>
        <v/>
      </c>
      <c r="F38" s="89" t="str">
        <f t="shared" si="1"/>
        <v/>
      </c>
      <c r="G38" s="60" t="str">
        <f t="shared" si="6"/>
        <v/>
      </c>
      <c r="H38" s="31"/>
    </row>
    <row r="39" spans="1:8" s="1" customFormat="1" x14ac:dyDescent="0.25">
      <c r="A39" s="58" t="str">
        <f t="shared" si="2"/>
        <v/>
      </c>
      <c r="B39" s="59" t="str">
        <f t="shared" si="0"/>
        <v/>
      </c>
      <c r="C39" s="60" t="str">
        <f t="shared" si="3"/>
        <v/>
      </c>
      <c r="D39" s="60" t="str">
        <f t="shared" si="4"/>
        <v/>
      </c>
      <c r="E39" s="60" t="str">
        <f t="shared" si="5"/>
        <v/>
      </c>
      <c r="F39" s="89" t="str">
        <f t="shared" si="1"/>
        <v/>
      </c>
      <c r="G39" s="60" t="str">
        <f t="shared" si="6"/>
        <v/>
      </c>
      <c r="H39" s="31"/>
    </row>
    <row r="40" spans="1:8" s="1" customFormat="1" x14ac:dyDescent="0.25">
      <c r="A40" s="58" t="str">
        <f t="shared" si="2"/>
        <v/>
      </c>
      <c r="B40" s="59">
        <v>43417</v>
      </c>
      <c r="C40" s="60" t="str">
        <f t="shared" si="3"/>
        <v/>
      </c>
      <c r="D40" s="60" t="str">
        <f t="shared" si="4"/>
        <v/>
      </c>
      <c r="E40" s="60" t="str">
        <f t="shared" si="5"/>
        <v/>
      </c>
      <c r="F40" s="89" t="str">
        <f t="shared" si="1"/>
        <v/>
      </c>
      <c r="G40" s="60" t="str">
        <f t="shared" si="6"/>
        <v/>
      </c>
      <c r="H40" s="31"/>
    </row>
    <row r="41" spans="1:8" s="1" customFormat="1" x14ac:dyDescent="0.25">
      <c r="A41" s="58" t="str">
        <f t="shared" si="2"/>
        <v/>
      </c>
      <c r="B41" s="59" t="str">
        <f t="shared" si="0"/>
        <v/>
      </c>
      <c r="C41" s="60" t="str">
        <f t="shared" si="3"/>
        <v/>
      </c>
      <c r="D41" s="60" t="str">
        <f t="shared" si="4"/>
        <v/>
      </c>
      <c r="E41" s="60" t="str">
        <f t="shared" si="5"/>
        <v/>
      </c>
      <c r="F41" s="89" t="str">
        <f t="shared" si="1"/>
        <v/>
      </c>
      <c r="G41" s="60" t="str">
        <f t="shared" si="6"/>
        <v/>
      </c>
      <c r="H41" s="31">
        <v>13413703.703703705</v>
      </c>
    </row>
    <row r="42" spans="1:8" s="1" customFormat="1" x14ac:dyDescent="0.25">
      <c r="A42" s="58" t="str">
        <f t="shared" si="2"/>
        <v/>
      </c>
      <c r="B42" s="59" t="str">
        <f t="shared" si="0"/>
        <v/>
      </c>
      <c r="C42" s="60" t="str">
        <f t="shared" si="3"/>
        <v/>
      </c>
      <c r="D42" s="60" t="str">
        <f t="shared" si="4"/>
        <v/>
      </c>
      <c r="E42" s="60" t="str">
        <f t="shared" si="5"/>
        <v/>
      </c>
      <c r="F42" s="89" t="str">
        <f t="shared" si="1"/>
        <v/>
      </c>
      <c r="G42" s="60" t="str">
        <f t="shared" si="6"/>
        <v/>
      </c>
      <c r="H42" s="31"/>
    </row>
    <row r="43" spans="1:8" s="1" customFormat="1" x14ac:dyDescent="0.25">
      <c r="A43" s="58" t="str">
        <f t="shared" si="2"/>
        <v/>
      </c>
      <c r="B43" s="59" t="str">
        <f t="shared" si="0"/>
        <v/>
      </c>
      <c r="C43" s="60" t="str">
        <f t="shared" si="3"/>
        <v/>
      </c>
      <c r="D43" s="60" t="str">
        <f t="shared" si="4"/>
        <v/>
      </c>
      <c r="E43" s="60" t="str">
        <f t="shared" si="5"/>
        <v/>
      </c>
      <c r="F43" s="89" t="str">
        <f t="shared" si="1"/>
        <v/>
      </c>
      <c r="G43" s="60" t="str">
        <f t="shared" si="6"/>
        <v/>
      </c>
      <c r="H43" s="31"/>
    </row>
    <row r="44" spans="1:8" s="1" customFormat="1" x14ac:dyDescent="0.25">
      <c r="A44" s="58" t="str">
        <f t="shared" si="2"/>
        <v/>
      </c>
      <c r="B44" s="59" t="str">
        <f t="shared" ref="B44:B70" si="7" xml:space="preserve"> IFERROR(IF(A44&gt;$C$5,"",IF(DAY(EOMONTH(B43,1))&lt;=DAY($C$8),EOMONTH(B43,1),DATE(YEAR(B43),MONTH(B43)+1,DAY($C$8)))),"No date in system")</f>
        <v/>
      </c>
      <c r="C44" s="60" t="str">
        <f t="shared" si="3"/>
        <v/>
      </c>
      <c r="D44" s="60" t="str">
        <f t="shared" si="4"/>
        <v/>
      </c>
      <c r="E44" s="60" t="str">
        <f t="shared" si="5"/>
        <v/>
      </c>
      <c r="F44" s="89" t="str">
        <f t="shared" si="1"/>
        <v/>
      </c>
      <c r="G44" s="60" t="str">
        <f t="shared" si="6"/>
        <v/>
      </c>
      <c r="H44" s="31"/>
    </row>
    <row r="45" spans="1:8" s="1" customFormat="1" x14ac:dyDescent="0.25">
      <c r="A45" s="58" t="str">
        <f t="shared" si="2"/>
        <v/>
      </c>
      <c r="B45" s="59" t="str">
        <f t="shared" si="7"/>
        <v/>
      </c>
      <c r="C45" s="60" t="str">
        <f t="shared" si="3"/>
        <v/>
      </c>
      <c r="D45" s="60" t="str">
        <f t="shared" si="4"/>
        <v/>
      </c>
      <c r="E45" s="60" t="str">
        <f t="shared" si="5"/>
        <v/>
      </c>
      <c r="F45" s="89" t="str">
        <f t="shared" si="1"/>
        <v/>
      </c>
      <c r="G45" s="60" t="str">
        <f t="shared" si="6"/>
        <v/>
      </c>
      <c r="H45" s="31"/>
    </row>
    <row r="46" spans="1:8" s="1" customFormat="1" x14ac:dyDescent="0.25">
      <c r="A46" s="58" t="str">
        <f t="shared" si="2"/>
        <v/>
      </c>
      <c r="B46" s="59" t="str">
        <f t="shared" si="7"/>
        <v/>
      </c>
      <c r="C46" s="60" t="str">
        <f t="shared" si="3"/>
        <v/>
      </c>
      <c r="D46" s="60" t="str">
        <f t="shared" si="4"/>
        <v/>
      </c>
      <c r="E46" s="60" t="str">
        <f t="shared" si="5"/>
        <v/>
      </c>
      <c r="F46" s="89" t="str">
        <f t="shared" si="1"/>
        <v/>
      </c>
      <c r="G46" s="60" t="str">
        <f t="shared" si="6"/>
        <v/>
      </c>
      <c r="H46" s="31"/>
    </row>
    <row r="47" spans="1:8" s="1" customFormat="1" x14ac:dyDescent="0.25">
      <c r="A47" s="58" t="str">
        <f t="shared" si="2"/>
        <v/>
      </c>
      <c r="B47" s="59" t="str">
        <f t="shared" si="7"/>
        <v/>
      </c>
      <c r="C47" s="60" t="str">
        <f t="shared" si="3"/>
        <v/>
      </c>
      <c r="D47" s="60" t="str">
        <f t="shared" si="4"/>
        <v/>
      </c>
      <c r="E47" s="60" t="str">
        <f t="shared" si="5"/>
        <v/>
      </c>
      <c r="F47" s="89" t="str">
        <f t="shared" si="1"/>
        <v/>
      </c>
      <c r="G47" s="60" t="str">
        <f t="shared" si="6"/>
        <v/>
      </c>
      <c r="H47" s="31"/>
    </row>
    <row r="48" spans="1:8" s="1" customFormat="1" x14ac:dyDescent="0.25">
      <c r="A48" s="58" t="str">
        <f t="shared" si="2"/>
        <v/>
      </c>
      <c r="B48" s="59" t="str">
        <f t="shared" si="7"/>
        <v/>
      </c>
      <c r="C48" s="60" t="str">
        <f t="shared" si="3"/>
        <v/>
      </c>
      <c r="D48" s="60" t="str">
        <f t="shared" si="4"/>
        <v/>
      </c>
      <c r="E48" s="60" t="str">
        <f t="shared" si="5"/>
        <v/>
      </c>
      <c r="F48" s="89" t="str">
        <f t="shared" si="1"/>
        <v/>
      </c>
      <c r="G48" s="60" t="str">
        <f t="shared" si="6"/>
        <v/>
      </c>
      <c r="H48" s="31"/>
    </row>
    <row r="49" spans="1:8" s="1" customFormat="1" x14ac:dyDescent="0.25">
      <c r="A49" s="58" t="str">
        <f t="shared" si="2"/>
        <v/>
      </c>
      <c r="B49" s="59" t="str">
        <f t="shared" si="7"/>
        <v/>
      </c>
      <c r="C49" s="60" t="str">
        <f t="shared" si="3"/>
        <v/>
      </c>
      <c r="D49" s="60" t="str">
        <f t="shared" si="4"/>
        <v/>
      </c>
      <c r="E49" s="60" t="str">
        <f t="shared" si="5"/>
        <v/>
      </c>
      <c r="F49" s="89" t="str">
        <f t="shared" si="1"/>
        <v/>
      </c>
      <c r="G49" s="60" t="str">
        <f t="shared" si="6"/>
        <v/>
      </c>
      <c r="H49" s="31"/>
    </row>
    <row r="50" spans="1:8" s="1" customFormat="1" x14ac:dyDescent="0.25">
      <c r="A50" s="58" t="str">
        <f t="shared" si="2"/>
        <v/>
      </c>
      <c r="B50" s="59" t="str">
        <f t="shared" si="7"/>
        <v/>
      </c>
      <c r="C50" s="60" t="str">
        <f t="shared" si="3"/>
        <v/>
      </c>
      <c r="D50" s="60" t="str">
        <f t="shared" si="4"/>
        <v/>
      </c>
      <c r="E50" s="60" t="str">
        <f t="shared" si="5"/>
        <v/>
      </c>
      <c r="F50" s="89" t="str">
        <f t="shared" si="1"/>
        <v/>
      </c>
      <c r="G50" s="60" t="str">
        <f t="shared" si="6"/>
        <v/>
      </c>
      <c r="H50" s="31"/>
    </row>
    <row r="51" spans="1:8" s="1" customFormat="1" x14ac:dyDescent="0.25">
      <c r="A51" s="58" t="str">
        <f t="shared" si="2"/>
        <v/>
      </c>
      <c r="B51" s="59" t="str">
        <f t="shared" si="7"/>
        <v/>
      </c>
      <c r="C51" s="60" t="str">
        <f t="shared" si="3"/>
        <v/>
      </c>
      <c r="D51" s="60" t="str">
        <f t="shared" si="4"/>
        <v/>
      </c>
      <c r="E51" s="60" t="str">
        <f t="shared" si="5"/>
        <v/>
      </c>
      <c r="F51" s="89" t="str">
        <f t="shared" si="1"/>
        <v/>
      </c>
      <c r="G51" s="60" t="str">
        <f t="shared" si="6"/>
        <v/>
      </c>
      <c r="H51" s="31"/>
    </row>
    <row r="52" spans="1:8" s="1" customFormat="1" x14ac:dyDescent="0.25">
      <c r="A52" s="58" t="str">
        <f t="shared" si="2"/>
        <v/>
      </c>
      <c r="B52" s="59" t="str">
        <f t="shared" si="7"/>
        <v/>
      </c>
      <c r="C52" s="60" t="str">
        <f t="shared" si="3"/>
        <v/>
      </c>
      <c r="D52" s="60" t="str">
        <f t="shared" si="4"/>
        <v/>
      </c>
      <c r="E52" s="60" t="str">
        <f t="shared" si="5"/>
        <v/>
      </c>
      <c r="F52" s="89" t="str">
        <f t="shared" si="1"/>
        <v/>
      </c>
      <c r="G52" s="60" t="str">
        <f t="shared" si="6"/>
        <v/>
      </c>
      <c r="H52" s="31"/>
    </row>
    <row r="53" spans="1:8" s="1" customFormat="1" x14ac:dyDescent="0.25">
      <c r="A53" s="58" t="str">
        <f t="shared" si="2"/>
        <v/>
      </c>
      <c r="B53" s="59" t="str">
        <f t="shared" si="7"/>
        <v/>
      </c>
      <c r="C53" s="60" t="str">
        <f t="shared" si="3"/>
        <v/>
      </c>
      <c r="D53" s="60" t="str">
        <f t="shared" si="4"/>
        <v/>
      </c>
      <c r="E53" s="60" t="str">
        <f t="shared" si="5"/>
        <v/>
      </c>
      <c r="F53" s="89" t="str">
        <f t="shared" si="1"/>
        <v/>
      </c>
      <c r="G53" s="60" t="str">
        <f t="shared" si="6"/>
        <v/>
      </c>
      <c r="H53" s="31"/>
    </row>
    <row r="54" spans="1:8" s="1" customFormat="1" x14ac:dyDescent="0.25">
      <c r="A54" s="58" t="str">
        <f t="shared" si="2"/>
        <v/>
      </c>
      <c r="B54" s="59" t="str">
        <f t="shared" si="7"/>
        <v/>
      </c>
      <c r="C54" s="60" t="str">
        <f t="shared" si="3"/>
        <v/>
      </c>
      <c r="D54" s="60" t="str">
        <f t="shared" si="4"/>
        <v/>
      </c>
      <c r="E54" s="60" t="str">
        <f t="shared" si="5"/>
        <v/>
      </c>
      <c r="F54" s="89" t="str">
        <f t="shared" si="1"/>
        <v/>
      </c>
      <c r="G54" s="60" t="str">
        <f t="shared" si="6"/>
        <v/>
      </c>
      <c r="H54" s="31"/>
    </row>
    <row r="55" spans="1:8" s="1" customFormat="1" x14ac:dyDescent="0.25">
      <c r="A55" s="58" t="str">
        <f t="shared" si="2"/>
        <v/>
      </c>
      <c r="B55" s="59" t="str">
        <f t="shared" si="7"/>
        <v/>
      </c>
      <c r="C55" s="60" t="str">
        <f t="shared" si="3"/>
        <v/>
      </c>
      <c r="D55" s="60" t="str">
        <f t="shared" si="4"/>
        <v/>
      </c>
      <c r="E55" s="60" t="str">
        <f t="shared" si="5"/>
        <v/>
      </c>
      <c r="F55" s="89" t="str">
        <f t="shared" si="1"/>
        <v/>
      </c>
      <c r="G55" s="60" t="str">
        <f t="shared" si="6"/>
        <v/>
      </c>
      <c r="H55" s="31"/>
    </row>
    <row r="56" spans="1:8" s="1" customFormat="1" x14ac:dyDescent="0.25">
      <c r="A56" s="58" t="str">
        <f t="shared" si="2"/>
        <v/>
      </c>
      <c r="B56" s="59" t="str">
        <f t="shared" si="7"/>
        <v/>
      </c>
      <c r="C56" s="60" t="str">
        <f t="shared" si="3"/>
        <v/>
      </c>
      <c r="D56" s="60" t="str">
        <f t="shared" si="4"/>
        <v/>
      </c>
      <c r="E56" s="60" t="str">
        <f t="shared" si="5"/>
        <v/>
      </c>
      <c r="F56" s="89" t="str">
        <f t="shared" si="1"/>
        <v/>
      </c>
      <c r="G56" s="60" t="str">
        <f t="shared" si="6"/>
        <v/>
      </c>
      <c r="H56" s="31"/>
    </row>
    <row r="57" spans="1:8" s="1" customFormat="1" x14ac:dyDescent="0.25">
      <c r="A57" s="58" t="str">
        <f t="shared" si="2"/>
        <v/>
      </c>
      <c r="B57" s="59" t="str">
        <f t="shared" si="7"/>
        <v/>
      </c>
      <c r="C57" s="60" t="str">
        <f t="shared" si="3"/>
        <v/>
      </c>
      <c r="D57" s="60" t="str">
        <f t="shared" si="4"/>
        <v/>
      </c>
      <c r="E57" s="60" t="str">
        <f t="shared" si="5"/>
        <v/>
      </c>
      <c r="F57" s="89" t="str">
        <f t="shared" si="1"/>
        <v/>
      </c>
      <c r="G57" s="60" t="str">
        <f t="shared" si="6"/>
        <v/>
      </c>
      <c r="H57" s="31"/>
    </row>
    <row r="58" spans="1:8" s="1" customFormat="1" x14ac:dyDescent="0.25">
      <c r="A58" s="58" t="str">
        <f t="shared" si="2"/>
        <v/>
      </c>
      <c r="B58" s="59" t="str">
        <f t="shared" si="7"/>
        <v/>
      </c>
      <c r="C58" s="60" t="str">
        <f t="shared" si="3"/>
        <v/>
      </c>
      <c r="D58" s="60" t="str">
        <f t="shared" si="4"/>
        <v/>
      </c>
      <c r="E58" s="60" t="str">
        <f t="shared" si="5"/>
        <v/>
      </c>
      <c r="F58" s="89" t="str">
        <f t="shared" si="1"/>
        <v/>
      </c>
      <c r="G58" s="60" t="str">
        <f t="shared" si="6"/>
        <v/>
      </c>
      <c r="H58" s="31"/>
    </row>
    <row r="59" spans="1:8" s="1" customFormat="1" x14ac:dyDescent="0.25">
      <c r="A59" s="58" t="str">
        <f t="shared" si="2"/>
        <v/>
      </c>
      <c r="B59" s="59" t="str">
        <f t="shared" si="7"/>
        <v/>
      </c>
      <c r="C59" s="60" t="str">
        <f t="shared" si="3"/>
        <v/>
      </c>
      <c r="D59" s="60" t="str">
        <f t="shared" si="4"/>
        <v/>
      </c>
      <c r="E59" s="60" t="str">
        <f t="shared" si="5"/>
        <v/>
      </c>
      <c r="F59" s="89" t="str">
        <f t="shared" si="1"/>
        <v/>
      </c>
      <c r="G59" s="60" t="str">
        <f t="shared" si="6"/>
        <v/>
      </c>
      <c r="H59" s="31"/>
    </row>
    <row r="60" spans="1:8" s="1" customFormat="1" x14ac:dyDescent="0.25">
      <c r="A60" s="58" t="str">
        <f t="shared" si="2"/>
        <v/>
      </c>
      <c r="B60" s="59" t="str">
        <f t="shared" si="7"/>
        <v/>
      </c>
      <c r="C60" s="60" t="str">
        <f t="shared" si="3"/>
        <v/>
      </c>
      <c r="D60" s="60" t="str">
        <f t="shared" si="4"/>
        <v/>
      </c>
      <c r="E60" s="60" t="str">
        <f t="shared" si="5"/>
        <v/>
      </c>
      <c r="F60" s="89" t="str">
        <f t="shared" si="1"/>
        <v/>
      </c>
      <c r="G60" s="60" t="str">
        <f t="shared" si="6"/>
        <v/>
      </c>
      <c r="H60" s="31"/>
    </row>
    <row r="61" spans="1:8" s="1" customFormat="1" x14ac:dyDescent="0.25">
      <c r="A61" s="58" t="str">
        <f t="shared" si="2"/>
        <v/>
      </c>
      <c r="B61" s="59" t="str">
        <f t="shared" si="7"/>
        <v/>
      </c>
      <c r="C61" s="60" t="str">
        <f t="shared" si="3"/>
        <v/>
      </c>
      <c r="D61" s="60" t="str">
        <f t="shared" si="4"/>
        <v/>
      </c>
      <c r="E61" s="60" t="str">
        <f t="shared" si="5"/>
        <v/>
      </c>
      <c r="F61" s="89" t="str">
        <f t="shared" si="1"/>
        <v/>
      </c>
      <c r="G61" s="60" t="str">
        <f t="shared" si="6"/>
        <v/>
      </c>
      <c r="H61" s="31"/>
    </row>
    <row r="62" spans="1:8" s="1" customFormat="1" x14ac:dyDescent="0.25">
      <c r="A62" s="58" t="str">
        <f t="shared" si="2"/>
        <v/>
      </c>
      <c r="B62" s="59" t="str">
        <f t="shared" si="7"/>
        <v/>
      </c>
      <c r="C62" s="60" t="str">
        <f t="shared" si="3"/>
        <v/>
      </c>
      <c r="D62" s="60" t="str">
        <f t="shared" si="4"/>
        <v/>
      </c>
      <c r="E62" s="60" t="str">
        <f t="shared" si="5"/>
        <v/>
      </c>
      <c r="F62" s="89" t="str">
        <f t="shared" si="1"/>
        <v/>
      </c>
      <c r="G62" s="60" t="str">
        <f t="shared" si="6"/>
        <v/>
      </c>
      <c r="H62" s="31"/>
    </row>
    <row r="63" spans="1:8" s="1" customFormat="1" x14ac:dyDescent="0.25">
      <c r="A63" s="58" t="str">
        <f t="shared" si="2"/>
        <v/>
      </c>
      <c r="B63" s="59" t="str">
        <f t="shared" si="7"/>
        <v/>
      </c>
      <c r="C63" s="60" t="str">
        <f t="shared" si="3"/>
        <v/>
      </c>
      <c r="D63" s="60" t="str">
        <f t="shared" si="4"/>
        <v/>
      </c>
      <c r="E63" s="60" t="str">
        <f t="shared" si="5"/>
        <v/>
      </c>
      <c r="F63" s="89" t="str">
        <f t="shared" si="1"/>
        <v/>
      </c>
      <c r="G63" s="60" t="str">
        <f t="shared" si="6"/>
        <v/>
      </c>
      <c r="H63" s="31"/>
    </row>
    <row r="64" spans="1:8" s="1" customFormat="1" x14ac:dyDescent="0.25">
      <c r="A64" s="58" t="str">
        <f t="shared" si="2"/>
        <v/>
      </c>
      <c r="B64" s="59" t="str">
        <f t="shared" si="7"/>
        <v/>
      </c>
      <c r="C64" s="60" t="str">
        <f t="shared" si="3"/>
        <v/>
      </c>
      <c r="D64" s="60" t="str">
        <f t="shared" si="4"/>
        <v/>
      </c>
      <c r="E64" s="60" t="str">
        <f t="shared" si="5"/>
        <v/>
      </c>
      <c r="F64" s="89" t="str">
        <f t="shared" si="1"/>
        <v/>
      </c>
      <c r="G64" s="60" t="str">
        <f t="shared" si="6"/>
        <v/>
      </c>
      <c r="H64" s="31"/>
    </row>
    <row r="65" spans="1:8" s="1" customFormat="1" x14ac:dyDescent="0.25">
      <c r="A65" s="58" t="str">
        <f t="shared" si="2"/>
        <v/>
      </c>
      <c r="B65" s="59" t="str">
        <f t="shared" si="7"/>
        <v/>
      </c>
      <c r="C65" s="60" t="str">
        <f t="shared" si="3"/>
        <v/>
      </c>
      <c r="D65" s="60" t="str">
        <f t="shared" si="4"/>
        <v/>
      </c>
      <c r="E65" s="60" t="str">
        <f t="shared" si="5"/>
        <v/>
      </c>
      <c r="F65" s="89" t="str">
        <f t="shared" si="1"/>
        <v/>
      </c>
      <c r="G65" s="60" t="str">
        <f t="shared" si="6"/>
        <v/>
      </c>
      <c r="H65" s="31"/>
    </row>
    <row r="66" spans="1:8" s="1" customFormat="1" x14ac:dyDescent="0.25">
      <c r="A66" s="58" t="str">
        <f t="shared" si="2"/>
        <v/>
      </c>
      <c r="B66" s="59" t="str">
        <f t="shared" si="7"/>
        <v/>
      </c>
      <c r="C66" s="60" t="str">
        <f t="shared" si="3"/>
        <v/>
      </c>
      <c r="D66" s="60" t="str">
        <f t="shared" si="4"/>
        <v/>
      </c>
      <c r="E66" s="60" t="str">
        <f t="shared" si="5"/>
        <v/>
      </c>
      <c r="F66" s="89" t="str">
        <f t="shared" si="1"/>
        <v/>
      </c>
      <c r="G66" s="60" t="str">
        <f t="shared" si="6"/>
        <v/>
      </c>
      <c r="H66" s="31"/>
    </row>
    <row r="67" spans="1:8" s="1" customFormat="1" x14ac:dyDescent="0.25">
      <c r="A67" s="58" t="str">
        <f t="shared" si="2"/>
        <v/>
      </c>
      <c r="B67" s="59" t="str">
        <f t="shared" si="7"/>
        <v/>
      </c>
      <c r="C67" s="60" t="str">
        <f t="shared" si="3"/>
        <v/>
      </c>
      <c r="D67" s="60" t="str">
        <f t="shared" si="4"/>
        <v/>
      </c>
      <c r="E67" s="60" t="str">
        <f t="shared" si="5"/>
        <v/>
      </c>
      <c r="F67" s="89" t="str">
        <f t="shared" si="1"/>
        <v/>
      </c>
      <c r="G67" s="60" t="str">
        <f t="shared" si="6"/>
        <v/>
      </c>
      <c r="H67" s="31"/>
    </row>
    <row r="68" spans="1:8" s="1" customFormat="1" x14ac:dyDescent="0.25">
      <c r="A68" s="58" t="str">
        <f t="shared" si="2"/>
        <v/>
      </c>
      <c r="B68" s="59" t="str">
        <f t="shared" si="7"/>
        <v/>
      </c>
      <c r="C68" s="60" t="str">
        <f t="shared" si="3"/>
        <v/>
      </c>
      <c r="D68" s="60" t="str">
        <f t="shared" si="4"/>
        <v/>
      </c>
      <c r="E68" s="60" t="str">
        <f t="shared" si="5"/>
        <v/>
      </c>
      <c r="F68" s="89" t="str">
        <f t="shared" si="1"/>
        <v/>
      </c>
      <c r="G68" s="60" t="str">
        <f t="shared" si="6"/>
        <v/>
      </c>
      <c r="H68" s="31"/>
    </row>
    <row r="69" spans="1:8" s="1" customFormat="1" x14ac:dyDescent="0.25">
      <c r="A69" s="58" t="str">
        <f t="shared" si="2"/>
        <v/>
      </c>
      <c r="B69" s="59" t="str">
        <f t="shared" si="7"/>
        <v/>
      </c>
      <c r="C69" s="60" t="str">
        <f t="shared" si="3"/>
        <v/>
      </c>
      <c r="D69" s="60" t="str">
        <f t="shared" si="4"/>
        <v/>
      </c>
      <c r="E69" s="60" t="str">
        <f t="shared" si="5"/>
        <v/>
      </c>
      <c r="F69" s="89" t="str">
        <f t="shared" si="1"/>
        <v/>
      </c>
      <c r="G69" s="60" t="str">
        <f t="shared" si="6"/>
        <v/>
      </c>
      <c r="H69" s="31"/>
    </row>
    <row r="70" spans="1:8" x14ac:dyDescent="0.25">
      <c r="A70" s="58" t="str">
        <f t="shared" si="2"/>
        <v/>
      </c>
      <c r="B70" s="59" t="str">
        <f t="shared" si="7"/>
        <v/>
      </c>
      <c r="C70" s="60" t="str">
        <f t="shared" si="3"/>
        <v/>
      </c>
      <c r="D70" s="60" t="str">
        <f t="shared" si="4"/>
        <v/>
      </c>
      <c r="E70" s="60" t="str">
        <f t="shared" si="5"/>
        <v/>
      </c>
      <c r="F70" s="89" t="str">
        <f t="shared" si="1"/>
        <v/>
      </c>
      <c r="G70" s="60" t="str">
        <f t="shared" si="6"/>
        <v/>
      </c>
    </row>
  </sheetData>
  <protectedRanges>
    <protectedRange sqref="C7:C8" name="Range1_1"/>
    <protectedRange sqref="B11:B70" name="Range1_1_1_1"/>
    <protectedRange sqref="C6" name="Range1_2"/>
  </protectedRanges>
  <mergeCells count="2">
    <mergeCell ref="A1:G1"/>
    <mergeCell ref="A2:G2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workbookViewId="0">
      <selection activeCell="F26" sqref="F26"/>
    </sheetView>
  </sheetViews>
  <sheetFormatPr defaultRowHeight="15" x14ac:dyDescent="0.25"/>
  <cols>
    <col min="1" max="1" width="8.7109375" style="61" customWidth="1"/>
    <col min="2" max="2" width="20.140625" style="62" customWidth="1"/>
    <col min="3" max="3" width="14.42578125" style="62" customWidth="1"/>
    <col min="4" max="4" width="13.85546875" style="62" customWidth="1"/>
    <col min="5" max="5" width="13.28515625" style="62" customWidth="1"/>
    <col min="6" max="6" width="13.5703125" style="62" customWidth="1"/>
    <col min="7" max="7" width="15" style="62" customWidth="1"/>
    <col min="8" max="8" width="15.28515625" customWidth="1"/>
  </cols>
  <sheetData>
    <row r="1" spans="1:8" s="1" customFormat="1" ht="20.25" customHeight="1" x14ac:dyDescent="0.3">
      <c r="A1" s="114" t="s">
        <v>32</v>
      </c>
      <c r="B1" s="114"/>
      <c r="C1" s="114"/>
      <c r="D1" s="114"/>
      <c r="E1" s="114"/>
      <c r="F1" s="114"/>
      <c r="G1" s="114"/>
      <c r="H1" t="s">
        <v>38</v>
      </c>
    </row>
    <row r="2" spans="1:8" s="1" customFormat="1" ht="15.75" x14ac:dyDescent="0.25">
      <c r="A2" s="115" t="s">
        <v>39</v>
      </c>
      <c r="B2" s="115"/>
      <c r="C2" s="115"/>
      <c r="D2" s="115"/>
      <c r="E2" s="115"/>
      <c r="F2" s="115"/>
      <c r="G2" s="115"/>
      <c r="H2"/>
    </row>
    <row r="3" spans="1:8" s="1" customFormat="1" ht="16.5" x14ac:dyDescent="0.25">
      <c r="A3" s="40"/>
      <c r="B3" s="40"/>
      <c r="C3" s="40"/>
      <c r="D3" s="40"/>
      <c r="E3" s="40"/>
      <c r="F3" s="40"/>
      <c r="G3" s="40"/>
      <c r="H3" s="2"/>
    </row>
    <row r="4" spans="1:8" s="1" customFormat="1" ht="15.75" customHeight="1" x14ac:dyDescent="0.25">
      <c r="A4" s="72" t="s">
        <v>9</v>
      </c>
      <c r="B4" s="41"/>
      <c r="C4" s="23">
        <v>400000000</v>
      </c>
      <c r="D4" s="42"/>
      <c r="E4" s="43"/>
      <c r="F4" s="44"/>
      <c r="G4" s="45"/>
      <c r="H4" s="3"/>
    </row>
    <row r="5" spans="1:8" s="1" customFormat="1" ht="15.75" customHeight="1" x14ac:dyDescent="0.25">
      <c r="A5" s="72" t="s">
        <v>10</v>
      </c>
      <c r="B5" s="41"/>
      <c r="C5" s="24">
        <v>36</v>
      </c>
      <c r="D5" s="42"/>
      <c r="E5" s="43"/>
      <c r="F5" s="44"/>
      <c r="G5" s="45"/>
      <c r="H5" s="3"/>
    </row>
    <row r="6" spans="1:8" s="1" customFormat="1" ht="15.75" customHeight="1" x14ac:dyDescent="0.25">
      <c r="A6" s="47" t="s">
        <v>36</v>
      </c>
      <c r="B6" s="41"/>
      <c r="C6" s="33">
        <v>0.02</v>
      </c>
      <c r="D6" s="63" t="s">
        <v>37</v>
      </c>
      <c r="E6" s="43"/>
      <c r="F6" s="44"/>
      <c r="G6" s="45"/>
      <c r="H6" s="3"/>
    </row>
    <row r="7" spans="1:8" s="1" customFormat="1" ht="15.75" customHeight="1" x14ac:dyDescent="0.25">
      <c r="A7" s="12" t="s">
        <v>49</v>
      </c>
      <c r="B7" s="41"/>
      <c r="C7" s="92">
        <f ca="1">NOW()</f>
        <v>42577.361573379632</v>
      </c>
      <c r="D7" s="63"/>
      <c r="E7" s="43"/>
      <c r="F7" s="44"/>
      <c r="G7" s="45"/>
      <c r="H7" s="3"/>
    </row>
    <row r="8" spans="1:8" s="1" customFormat="1" ht="16.5" customHeight="1" x14ac:dyDescent="0.25">
      <c r="A8" s="12" t="s">
        <v>50</v>
      </c>
      <c r="B8" s="41"/>
      <c r="C8" s="92">
        <v>42526</v>
      </c>
      <c r="D8" s="52"/>
      <c r="E8" s="43"/>
      <c r="F8" s="44"/>
      <c r="G8" s="45"/>
      <c r="H8" s="4"/>
    </row>
    <row r="9" spans="1:8" s="1" customFormat="1" ht="16.5" customHeight="1" x14ac:dyDescent="0.25">
      <c r="A9" s="54"/>
      <c r="B9" s="55"/>
      <c r="C9" s="56"/>
      <c r="D9" s="56"/>
      <c r="E9" s="75">
        <f t="shared" ref="E9:F9" si="0">SUM(E11:E70)</f>
        <v>399999999.99999982</v>
      </c>
      <c r="F9" s="75">
        <f t="shared" si="0"/>
        <v>288000000</v>
      </c>
      <c r="G9" s="75">
        <f>SUM(G11:G70)</f>
        <v>688000000.00000024</v>
      </c>
      <c r="H9"/>
    </row>
    <row r="10" spans="1:8" s="1" customFormat="1" x14ac:dyDescent="0.25">
      <c r="A10" s="57" t="s">
        <v>34</v>
      </c>
      <c r="B10" s="57" t="s">
        <v>31</v>
      </c>
      <c r="C10" s="57" t="s">
        <v>2</v>
      </c>
      <c r="D10" s="57" t="s">
        <v>3</v>
      </c>
      <c r="E10" s="57" t="s">
        <v>4</v>
      </c>
      <c r="F10" s="57" t="s">
        <v>5</v>
      </c>
      <c r="G10" s="57" t="s">
        <v>6</v>
      </c>
      <c r="H10" s="31"/>
    </row>
    <row r="11" spans="1:8" s="1" customFormat="1" x14ac:dyDescent="0.25">
      <c r="A11" s="58">
        <v>1</v>
      </c>
      <c r="B11" s="59">
        <f xml:space="preserve"> IFERROR(IF(DAY(EOMONTH(C8,1))&lt;=DAY(C8),EOMONTH(C8,1),DATE(YEAR(C8),MONTH(C8),DAY(C8))),"No date in system")</f>
        <v>42526</v>
      </c>
      <c r="C11" s="60">
        <f ca="1">B11-C7</f>
        <v>-51.361573379632318</v>
      </c>
      <c r="D11" s="60">
        <f>C4</f>
        <v>400000000</v>
      </c>
      <c r="E11" s="60">
        <f>$C$4/$C$5</f>
        <v>11111111.111111112</v>
      </c>
      <c r="F11" s="60">
        <f>IF(A11&gt;$C$5,"",$C$4*$C$6)</f>
        <v>8000000</v>
      </c>
      <c r="G11" s="60">
        <f>SUM(E11:F11)</f>
        <v>19111111.111111112</v>
      </c>
      <c r="H11" s="31"/>
    </row>
    <row r="12" spans="1:8" s="1" customFormat="1" x14ac:dyDescent="0.25">
      <c r="A12" s="58">
        <f>IFERROR(IF(A11+1&lt;=$C$5,A11+1,""),"")</f>
        <v>2</v>
      </c>
      <c r="B12" s="59">
        <f t="shared" ref="B12:B43" si="1" xml:space="preserve"> IFERROR(IF(A12&gt;$C$5,"",IF(DAY(EOMONTH(B11,1))&lt;=DAY($C$8),EOMONTH(B11,1),DATE(YEAR(B11),MONTH(B11)+1,DAY($C$8)))),"No date in system")</f>
        <v>42556</v>
      </c>
      <c r="C12" s="60">
        <f>IF(A12&gt;$C$5,"",B12-B11)</f>
        <v>30</v>
      </c>
      <c r="D12" s="60">
        <f>IF(A12&gt;$C$5,"",D11-E11)</f>
        <v>388888888.8888889</v>
      </c>
      <c r="E12" s="60">
        <f>IF(A12&gt;$C$5,"",$C$4/$C$5)</f>
        <v>11111111.111111112</v>
      </c>
      <c r="F12" s="60">
        <f>IF(A12&gt;$C$5,"",$C$4*$C$6)</f>
        <v>8000000</v>
      </c>
      <c r="G12" s="60">
        <f>IF(A12&gt;$C$5,"",SUM(E12:F12))</f>
        <v>19111111.111111112</v>
      </c>
      <c r="H12" s="31"/>
    </row>
    <row r="13" spans="1:8" s="1" customFormat="1" x14ac:dyDescent="0.25">
      <c r="A13" s="58">
        <f t="shared" ref="A13:A70" si="2">IFERROR(IF(A12+1&lt;=$C$5,A12+1,""),"")</f>
        <v>3</v>
      </c>
      <c r="B13" s="59">
        <f t="shared" si="1"/>
        <v>42587</v>
      </c>
      <c r="C13" s="60">
        <f t="shared" ref="C13:C70" si="3">IF(A13&gt;$C$5,"",B13-B12)</f>
        <v>31</v>
      </c>
      <c r="D13" s="60">
        <f t="shared" ref="D13:D70" si="4">IF(A13&gt;$C$5,"",D12-E12)</f>
        <v>377777777.77777779</v>
      </c>
      <c r="E13" s="60">
        <f t="shared" ref="E13:E70" si="5">IF(A13&gt;$C$5,"",$C$4/$C$5)</f>
        <v>11111111.111111112</v>
      </c>
      <c r="F13" s="60">
        <f t="shared" ref="F13:F70" si="6">IF(A13&gt;$C$5,"",$C$4*$C$6)</f>
        <v>8000000</v>
      </c>
      <c r="G13" s="60">
        <f t="shared" ref="G13:G70" si="7">IF(A13&gt;$C$5,"",SUM(E13:F13))</f>
        <v>19111111.111111112</v>
      </c>
      <c r="H13" s="31"/>
    </row>
    <row r="14" spans="1:8" s="1" customFormat="1" x14ac:dyDescent="0.25">
      <c r="A14" s="58">
        <f t="shared" si="2"/>
        <v>4</v>
      </c>
      <c r="B14" s="59">
        <f t="shared" si="1"/>
        <v>42618</v>
      </c>
      <c r="C14" s="60">
        <f t="shared" si="3"/>
        <v>31</v>
      </c>
      <c r="D14" s="60">
        <f t="shared" si="4"/>
        <v>366666666.66666669</v>
      </c>
      <c r="E14" s="60">
        <f t="shared" si="5"/>
        <v>11111111.111111112</v>
      </c>
      <c r="F14" s="60">
        <f t="shared" si="6"/>
        <v>8000000</v>
      </c>
      <c r="G14" s="60">
        <f t="shared" si="7"/>
        <v>19111111.111111112</v>
      </c>
      <c r="H14" s="31"/>
    </row>
    <row r="15" spans="1:8" s="1" customFormat="1" x14ac:dyDescent="0.25">
      <c r="A15" s="58">
        <f t="shared" si="2"/>
        <v>5</v>
      </c>
      <c r="B15" s="59">
        <f t="shared" si="1"/>
        <v>42648</v>
      </c>
      <c r="C15" s="60">
        <f t="shared" si="3"/>
        <v>30</v>
      </c>
      <c r="D15" s="60">
        <f t="shared" si="4"/>
        <v>355555555.55555558</v>
      </c>
      <c r="E15" s="60">
        <f t="shared" si="5"/>
        <v>11111111.111111112</v>
      </c>
      <c r="F15" s="60">
        <f t="shared" si="6"/>
        <v>8000000</v>
      </c>
      <c r="G15" s="60">
        <f t="shared" si="7"/>
        <v>19111111.111111112</v>
      </c>
      <c r="H15" s="31"/>
    </row>
    <row r="16" spans="1:8" s="1" customFormat="1" x14ac:dyDescent="0.25">
      <c r="A16" s="58">
        <f t="shared" si="2"/>
        <v>6</v>
      </c>
      <c r="B16" s="59">
        <f t="shared" si="1"/>
        <v>42679</v>
      </c>
      <c r="C16" s="60">
        <f t="shared" si="3"/>
        <v>31</v>
      </c>
      <c r="D16" s="60">
        <f t="shared" si="4"/>
        <v>344444444.44444448</v>
      </c>
      <c r="E16" s="60">
        <f t="shared" si="5"/>
        <v>11111111.111111112</v>
      </c>
      <c r="F16" s="60">
        <f t="shared" si="6"/>
        <v>8000000</v>
      </c>
      <c r="G16" s="60">
        <f t="shared" si="7"/>
        <v>19111111.111111112</v>
      </c>
      <c r="H16" s="31"/>
    </row>
    <row r="17" spans="1:8" s="1" customFormat="1" x14ac:dyDescent="0.25">
      <c r="A17" s="58">
        <f t="shared" si="2"/>
        <v>7</v>
      </c>
      <c r="B17" s="59">
        <f t="shared" si="1"/>
        <v>42709</v>
      </c>
      <c r="C17" s="60">
        <f t="shared" si="3"/>
        <v>30</v>
      </c>
      <c r="D17" s="60">
        <f t="shared" si="4"/>
        <v>333333333.33333337</v>
      </c>
      <c r="E17" s="60">
        <f t="shared" si="5"/>
        <v>11111111.111111112</v>
      </c>
      <c r="F17" s="60">
        <f t="shared" si="6"/>
        <v>8000000</v>
      </c>
      <c r="G17" s="60">
        <f t="shared" si="7"/>
        <v>19111111.111111112</v>
      </c>
      <c r="H17" s="31"/>
    </row>
    <row r="18" spans="1:8" s="1" customFormat="1" x14ac:dyDescent="0.25">
      <c r="A18" s="58">
        <f t="shared" si="2"/>
        <v>8</v>
      </c>
      <c r="B18" s="59">
        <f t="shared" si="1"/>
        <v>42740</v>
      </c>
      <c r="C18" s="60">
        <f t="shared" si="3"/>
        <v>31</v>
      </c>
      <c r="D18" s="60">
        <f t="shared" si="4"/>
        <v>322222222.22222227</v>
      </c>
      <c r="E18" s="60">
        <f t="shared" si="5"/>
        <v>11111111.111111112</v>
      </c>
      <c r="F18" s="60">
        <f t="shared" si="6"/>
        <v>8000000</v>
      </c>
      <c r="G18" s="60">
        <f t="shared" si="7"/>
        <v>19111111.111111112</v>
      </c>
      <c r="H18" s="31"/>
    </row>
    <row r="19" spans="1:8" s="1" customFormat="1" x14ac:dyDescent="0.25">
      <c r="A19" s="58">
        <f t="shared" si="2"/>
        <v>9</v>
      </c>
      <c r="B19" s="59">
        <f t="shared" si="1"/>
        <v>42771</v>
      </c>
      <c r="C19" s="60">
        <f t="shared" si="3"/>
        <v>31</v>
      </c>
      <c r="D19" s="60">
        <f t="shared" si="4"/>
        <v>311111111.11111116</v>
      </c>
      <c r="E19" s="60">
        <f t="shared" si="5"/>
        <v>11111111.111111112</v>
      </c>
      <c r="F19" s="60">
        <f t="shared" si="6"/>
        <v>8000000</v>
      </c>
      <c r="G19" s="60">
        <f t="shared" si="7"/>
        <v>19111111.111111112</v>
      </c>
      <c r="H19" s="31"/>
    </row>
    <row r="20" spans="1:8" s="1" customFormat="1" x14ac:dyDescent="0.25">
      <c r="A20" s="58">
        <f t="shared" si="2"/>
        <v>10</v>
      </c>
      <c r="B20" s="59">
        <f t="shared" si="1"/>
        <v>42799</v>
      </c>
      <c r="C20" s="60">
        <f t="shared" si="3"/>
        <v>28</v>
      </c>
      <c r="D20" s="60">
        <f t="shared" si="4"/>
        <v>300000000.00000006</v>
      </c>
      <c r="E20" s="60">
        <f t="shared" si="5"/>
        <v>11111111.111111112</v>
      </c>
      <c r="F20" s="60">
        <f t="shared" si="6"/>
        <v>8000000</v>
      </c>
      <c r="G20" s="60">
        <f t="shared" si="7"/>
        <v>19111111.111111112</v>
      </c>
      <c r="H20" s="31"/>
    </row>
    <row r="21" spans="1:8" s="1" customFormat="1" x14ac:dyDescent="0.25">
      <c r="A21" s="58">
        <f t="shared" si="2"/>
        <v>11</v>
      </c>
      <c r="B21" s="59">
        <f t="shared" si="1"/>
        <v>42830</v>
      </c>
      <c r="C21" s="60">
        <f t="shared" si="3"/>
        <v>31</v>
      </c>
      <c r="D21" s="60">
        <f t="shared" si="4"/>
        <v>288888888.88888896</v>
      </c>
      <c r="E21" s="60">
        <f t="shared" si="5"/>
        <v>11111111.111111112</v>
      </c>
      <c r="F21" s="60">
        <f t="shared" si="6"/>
        <v>8000000</v>
      </c>
      <c r="G21" s="60">
        <f t="shared" si="7"/>
        <v>19111111.111111112</v>
      </c>
      <c r="H21" s="31"/>
    </row>
    <row r="22" spans="1:8" s="1" customFormat="1" x14ac:dyDescent="0.25">
      <c r="A22" s="58">
        <f t="shared" si="2"/>
        <v>12</v>
      </c>
      <c r="B22" s="59">
        <f t="shared" si="1"/>
        <v>42860</v>
      </c>
      <c r="C22" s="60">
        <f t="shared" si="3"/>
        <v>30</v>
      </c>
      <c r="D22" s="60">
        <f t="shared" si="4"/>
        <v>277777777.77777785</v>
      </c>
      <c r="E22" s="60">
        <f t="shared" si="5"/>
        <v>11111111.111111112</v>
      </c>
      <c r="F22" s="60">
        <f t="shared" si="6"/>
        <v>8000000</v>
      </c>
      <c r="G22" s="60">
        <f t="shared" si="7"/>
        <v>19111111.111111112</v>
      </c>
      <c r="H22" s="31"/>
    </row>
    <row r="23" spans="1:8" s="1" customFormat="1" x14ac:dyDescent="0.25">
      <c r="A23" s="58">
        <f t="shared" si="2"/>
        <v>13</v>
      </c>
      <c r="B23" s="59">
        <f t="shared" si="1"/>
        <v>42891</v>
      </c>
      <c r="C23" s="60">
        <f t="shared" si="3"/>
        <v>31</v>
      </c>
      <c r="D23" s="60">
        <f t="shared" si="4"/>
        <v>266666666.66666675</v>
      </c>
      <c r="E23" s="60">
        <f t="shared" si="5"/>
        <v>11111111.111111112</v>
      </c>
      <c r="F23" s="60">
        <f t="shared" si="6"/>
        <v>8000000</v>
      </c>
      <c r="G23" s="60">
        <f t="shared" si="7"/>
        <v>19111111.111111112</v>
      </c>
      <c r="H23" s="31"/>
    </row>
    <row r="24" spans="1:8" s="1" customFormat="1" x14ac:dyDescent="0.25">
      <c r="A24" s="58">
        <f t="shared" si="2"/>
        <v>14</v>
      </c>
      <c r="B24" s="59">
        <f t="shared" si="1"/>
        <v>42921</v>
      </c>
      <c r="C24" s="60">
        <f t="shared" si="3"/>
        <v>30</v>
      </c>
      <c r="D24" s="60">
        <f t="shared" si="4"/>
        <v>255555555.55555564</v>
      </c>
      <c r="E24" s="60">
        <f t="shared" si="5"/>
        <v>11111111.111111112</v>
      </c>
      <c r="F24" s="60">
        <f t="shared" si="6"/>
        <v>8000000</v>
      </c>
      <c r="G24" s="60">
        <f t="shared" si="7"/>
        <v>19111111.111111112</v>
      </c>
      <c r="H24" s="31"/>
    </row>
    <row r="25" spans="1:8" s="1" customFormat="1" x14ac:dyDescent="0.25">
      <c r="A25" s="58">
        <f t="shared" si="2"/>
        <v>15</v>
      </c>
      <c r="B25" s="59">
        <f t="shared" si="1"/>
        <v>42952</v>
      </c>
      <c r="C25" s="60">
        <f t="shared" si="3"/>
        <v>31</v>
      </c>
      <c r="D25" s="60">
        <f t="shared" si="4"/>
        <v>244444444.44444454</v>
      </c>
      <c r="E25" s="60">
        <f t="shared" si="5"/>
        <v>11111111.111111112</v>
      </c>
      <c r="F25" s="60">
        <f t="shared" si="6"/>
        <v>8000000</v>
      </c>
      <c r="G25" s="60">
        <f t="shared" si="7"/>
        <v>19111111.111111112</v>
      </c>
      <c r="H25" s="31"/>
    </row>
    <row r="26" spans="1:8" s="1" customFormat="1" x14ac:dyDescent="0.25">
      <c r="A26" s="58">
        <f t="shared" si="2"/>
        <v>16</v>
      </c>
      <c r="B26" s="59">
        <f t="shared" si="1"/>
        <v>42983</v>
      </c>
      <c r="C26" s="60">
        <f t="shared" si="3"/>
        <v>31</v>
      </c>
      <c r="D26" s="60">
        <f t="shared" si="4"/>
        <v>233333333.33333343</v>
      </c>
      <c r="E26" s="60">
        <f t="shared" si="5"/>
        <v>11111111.111111112</v>
      </c>
      <c r="F26" s="60">
        <f t="shared" si="6"/>
        <v>8000000</v>
      </c>
      <c r="G26" s="60">
        <f t="shared" si="7"/>
        <v>19111111.111111112</v>
      </c>
      <c r="H26" s="31"/>
    </row>
    <row r="27" spans="1:8" s="1" customFormat="1" x14ac:dyDescent="0.25">
      <c r="A27" s="58">
        <f t="shared" si="2"/>
        <v>17</v>
      </c>
      <c r="B27" s="59">
        <f t="shared" si="1"/>
        <v>43013</v>
      </c>
      <c r="C27" s="60">
        <f t="shared" si="3"/>
        <v>30</v>
      </c>
      <c r="D27" s="60">
        <f t="shared" si="4"/>
        <v>222222222.22222233</v>
      </c>
      <c r="E27" s="60">
        <f t="shared" si="5"/>
        <v>11111111.111111112</v>
      </c>
      <c r="F27" s="60">
        <f t="shared" si="6"/>
        <v>8000000</v>
      </c>
      <c r="G27" s="60">
        <f t="shared" si="7"/>
        <v>19111111.111111112</v>
      </c>
      <c r="H27" s="31"/>
    </row>
    <row r="28" spans="1:8" s="1" customFormat="1" x14ac:dyDescent="0.25">
      <c r="A28" s="58">
        <f t="shared" si="2"/>
        <v>18</v>
      </c>
      <c r="B28" s="59">
        <f t="shared" si="1"/>
        <v>43044</v>
      </c>
      <c r="C28" s="60">
        <f t="shared" si="3"/>
        <v>31</v>
      </c>
      <c r="D28" s="60">
        <f t="shared" si="4"/>
        <v>211111111.11111122</v>
      </c>
      <c r="E28" s="60">
        <f t="shared" si="5"/>
        <v>11111111.111111112</v>
      </c>
      <c r="F28" s="60">
        <f t="shared" si="6"/>
        <v>8000000</v>
      </c>
      <c r="G28" s="60">
        <f t="shared" si="7"/>
        <v>19111111.111111112</v>
      </c>
      <c r="H28" s="31"/>
    </row>
    <row r="29" spans="1:8" s="1" customFormat="1" x14ac:dyDescent="0.25">
      <c r="A29" s="58">
        <f t="shared" si="2"/>
        <v>19</v>
      </c>
      <c r="B29" s="59">
        <f t="shared" si="1"/>
        <v>43074</v>
      </c>
      <c r="C29" s="60">
        <f t="shared" si="3"/>
        <v>30</v>
      </c>
      <c r="D29" s="60">
        <f t="shared" si="4"/>
        <v>200000000.00000012</v>
      </c>
      <c r="E29" s="60">
        <f t="shared" si="5"/>
        <v>11111111.111111112</v>
      </c>
      <c r="F29" s="60">
        <f t="shared" si="6"/>
        <v>8000000</v>
      </c>
      <c r="G29" s="60">
        <f t="shared" si="7"/>
        <v>19111111.111111112</v>
      </c>
      <c r="H29" s="31"/>
    </row>
    <row r="30" spans="1:8" s="1" customFormat="1" x14ac:dyDescent="0.25">
      <c r="A30" s="58">
        <f t="shared" si="2"/>
        <v>20</v>
      </c>
      <c r="B30" s="59">
        <f t="shared" si="1"/>
        <v>43105</v>
      </c>
      <c r="C30" s="60">
        <f t="shared" si="3"/>
        <v>31</v>
      </c>
      <c r="D30" s="60">
        <f t="shared" si="4"/>
        <v>188888888.88888901</v>
      </c>
      <c r="E30" s="60">
        <f t="shared" si="5"/>
        <v>11111111.111111112</v>
      </c>
      <c r="F30" s="60">
        <f t="shared" si="6"/>
        <v>8000000</v>
      </c>
      <c r="G30" s="60">
        <f t="shared" si="7"/>
        <v>19111111.111111112</v>
      </c>
      <c r="H30" s="31"/>
    </row>
    <row r="31" spans="1:8" s="1" customFormat="1" x14ac:dyDescent="0.25">
      <c r="A31" s="58">
        <f t="shared" si="2"/>
        <v>21</v>
      </c>
      <c r="B31" s="59">
        <f t="shared" si="1"/>
        <v>43136</v>
      </c>
      <c r="C31" s="60">
        <f t="shared" si="3"/>
        <v>31</v>
      </c>
      <c r="D31" s="60">
        <f t="shared" si="4"/>
        <v>177777777.77777791</v>
      </c>
      <c r="E31" s="60">
        <f t="shared" si="5"/>
        <v>11111111.111111112</v>
      </c>
      <c r="F31" s="60">
        <f t="shared" si="6"/>
        <v>8000000</v>
      </c>
      <c r="G31" s="60">
        <f t="shared" si="7"/>
        <v>19111111.111111112</v>
      </c>
      <c r="H31" s="31"/>
    </row>
    <row r="32" spans="1:8" s="1" customFormat="1" x14ac:dyDescent="0.25">
      <c r="A32" s="58">
        <f t="shared" si="2"/>
        <v>22</v>
      </c>
      <c r="B32" s="59">
        <f t="shared" si="1"/>
        <v>43164</v>
      </c>
      <c r="C32" s="60">
        <f t="shared" si="3"/>
        <v>28</v>
      </c>
      <c r="D32" s="60">
        <f t="shared" si="4"/>
        <v>166666666.66666681</v>
      </c>
      <c r="E32" s="60">
        <f t="shared" si="5"/>
        <v>11111111.111111112</v>
      </c>
      <c r="F32" s="60">
        <f t="shared" si="6"/>
        <v>8000000</v>
      </c>
      <c r="G32" s="60">
        <f t="shared" si="7"/>
        <v>19111111.111111112</v>
      </c>
      <c r="H32" s="31"/>
    </row>
    <row r="33" spans="1:8" s="1" customFormat="1" x14ac:dyDescent="0.25">
      <c r="A33" s="58">
        <f t="shared" si="2"/>
        <v>23</v>
      </c>
      <c r="B33" s="59">
        <f t="shared" si="1"/>
        <v>43195</v>
      </c>
      <c r="C33" s="60">
        <f t="shared" si="3"/>
        <v>31</v>
      </c>
      <c r="D33" s="60">
        <f t="shared" si="4"/>
        <v>155555555.5555557</v>
      </c>
      <c r="E33" s="60">
        <f t="shared" si="5"/>
        <v>11111111.111111112</v>
      </c>
      <c r="F33" s="60">
        <f t="shared" si="6"/>
        <v>8000000</v>
      </c>
      <c r="G33" s="60">
        <f t="shared" si="7"/>
        <v>19111111.111111112</v>
      </c>
      <c r="H33" s="31"/>
    </row>
    <row r="34" spans="1:8" s="1" customFormat="1" x14ac:dyDescent="0.25">
      <c r="A34" s="58">
        <f t="shared" si="2"/>
        <v>24</v>
      </c>
      <c r="B34" s="59">
        <f t="shared" si="1"/>
        <v>43225</v>
      </c>
      <c r="C34" s="60">
        <f t="shared" si="3"/>
        <v>30</v>
      </c>
      <c r="D34" s="60">
        <f t="shared" si="4"/>
        <v>144444444.4444446</v>
      </c>
      <c r="E34" s="60">
        <f t="shared" si="5"/>
        <v>11111111.111111112</v>
      </c>
      <c r="F34" s="60">
        <f t="shared" si="6"/>
        <v>8000000</v>
      </c>
      <c r="G34" s="60">
        <f t="shared" si="7"/>
        <v>19111111.111111112</v>
      </c>
      <c r="H34" s="31"/>
    </row>
    <row r="35" spans="1:8" s="1" customFormat="1" x14ac:dyDescent="0.25">
      <c r="A35" s="58">
        <f t="shared" si="2"/>
        <v>25</v>
      </c>
      <c r="B35" s="59">
        <f t="shared" si="1"/>
        <v>43256</v>
      </c>
      <c r="C35" s="60">
        <f t="shared" si="3"/>
        <v>31</v>
      </c>
      <c r="D35" s="60">
        <f t="shared" si="4"/>
        <v>133333333.33333349</v>
      </c>
      <c r="E35" s="60">
        <f t="shared" si="5"/>
        <v>11111111.111111112</v>
      </c>
      <c r="F35" s="60">
        <f t="shared" si="6"/>
        <v>8000000</v>
      </c>
      <c r="G35" s="60">
        <f t="shared" si="7"/>
        <v>19111111.111111112</v>
      </c>
      <c r="H35" s="31"/>
    </row>
    <row r="36" spans="1:8" s="1" customFormat="1" x14ac:dyDescent="0.25">
      <c r="A36" s="58">
        <f t="shared" si="2"/>
        <v>26</v>
      </c>
      <c r="B36" s="59">
        <f t="shared" si="1"/>
        <v>43286</v>
      </c>
      <c r="C36" s="60">
        <f t="shared" si="3"/>
        <v>30</v>
      </c>
      <c r="D36" s="60">
        <f t="shared" si="4"/>
        <v>122222222.22222239</v>
      </c>
      <c r="E36" s="60">
        <f t="shared" si="5"/>
        <v>11111111.111111112</v>
      </c>
      <c r="F36" s="60">
        <f t="shared" si="6"/>
        <v>8000000</v>
      </c>
      <c r="G36" s="60">
        <f t="shared" si="7"/>
        <v>19111111.111111112</v>
      </c>
      <c r="H36" s="31"/>
    </row>
    <row r="37" spans="1:8" s="1" customFormat="1" x14ac:dyDescent="0.25">
      <c r="A37" s="58">
        <f t="shared" si="2"/>
        <v>27</v>
      </c>
      <c r="B37" s="59">
        <f t="shared" si="1"/>
        <v>43317</v>
      </c>
      <c r="C37" s="60">
        <f t="shared" si="3"/>
        <v>31</v>
      </c>
      <c r="D37" s="60">
        <f t="shared" si="4"/>
        <v>111111111.11111128</v>
      </c>
      <c r="E37" s="60">
        <f t="shared" si="5"/>
        <v>11111111.111111112</v>
      </c>
      <c r="F37" s="60">
        <f t="shared" si="6"/>
        <v>8000000</v>
      </c>
      <c r="G37" s="60">
        <f t="shared" si="7"/>
        <v>19111111.111111112</v>
      </c>
      <c r="H37" s="31"/>
    </row>
    <row r="38" spans="1:8" s="1" customFormat="1" x14ac:dyDescent="0.25">
      <c r="A38" s="58">
        <f t="shared" si="2"/>
        <v>28</v>
      </c>
      <c r="B38" s="59">
        <f t="shared" si="1"/>
        <v>43348</v>
      </c>
      <c r="C38" s="60">
        <f t="shared" si="3"/>
        <v>31</v>
      </c>
      <c r="D38" s="60">
        <f t="shared" si="4"/>
        <v>100000000.00000018</v>
      </c>
      <c r="E38" s="60">
        <f t="shared" si="5"/>
        <v>11111111.111111112</v>
      </c>
      <c r="F38" s="60">
        <f t="shared" si="6"/>
        <v>8000000</v>
      </c>
      <c r="G38" s="60">
        <f t="shared" si="7"/>
        <v>19111111.111111112</v>
      </c>
      <c r="H38" s="31"/>
    </row>
    <row r="39" spans="1:8" s="1" customFormat="1" x14ac:dyDescent="0.25">
      <c r="A39" s="58">
        <f t="shared" si="2"/>
        <v>29</v>
      </c>
      <c r="B39" s="59">
        <f t="shared" si="1"/>
        <v>43378</v>
      </c>
      <c r="C39" s="60">
        <f t="shared" si="3"/>
        <v>30</v>
      </c>
      <c r="D39" s="60">
        <f t="shared" si="4"/>
        <v>88888888.888889074</v>
      </c>
      <c r="E39" s="60">
        <f t="shared" si="5"/>
        <v>11111111.111111112</v>
      </c>
      <c r="F39" s="60">
        <f t="shared" si="6"/>
        <v>8000000</v>
      </c>
      <c r="G39" s="60">
        <f t="shared" si="7"/>
        <v>19111111.111111112</v>
      </c>
      <c r="H39" s="31"/>
    </row>
    <row r="40" spans="1:8" s="1" customFormat="1" x14ac:dyDescent="0.25">
      <c r="A40" s="58">
        <f t="shared" si="2"/>
        <v>30</v>
      </c>
      <c r="B40" s="59">
        <f t="shared" si="1"/>
        <v>43409</v>
      </c>
      <c r="C40" s="60">
        <f t="shared" si="3"/>
        <v>31</v>
      </c>
      <c r="D40" s="60">
        <f t="shared" si="4"/>
        <v>77777777.77777797</v>
      </c>
      <c r="E40" s="60">
        <f t="shared" si="5"/>
        <v>11111111.111111112</v>
      </c>
      <c r="F40" s="60">
        <f t="shared" si="6"/>
        <v>8000000</v>
      </c>
      <c r="G40" s="60">
        <f t="shared" si="7"/>
        <v>19111111.111111112</v>
      </c>
      <c r="H40" s="31"/>
    </row>
    <row r="41" spans="1:8" s="1" customFormat="1" x14ac:dyDescent="0.25">
      <c r="A41" s="58">
        <f t="shared" si="2"/>
        <v>31</v>
      </c>
      <c r="B41" s="59">
        <f t="shared" si="1"/>
        <v>43439</v>
      </c>
      <c r="C41" s="60">
        <f t="shared" si="3"/>
        <v>30</v>
      </c>
      <c r="D41" s="60">
        <f t="shared" si="4"/>
        <v>66666666.666666858</v>
      </c>
      <c r="E41" s="60">
        <f t="shared" si="5"/>
        <v>11111111.111111112</v>
      </c>
      <c r="F41" s="60">
        <f t="shared" si="6"/>
        <v>8000000</v>
      </c>
      <c r="G41" s="60">
        <f t="shared" si="7"/>
        <v>19111111.111111112</v>
      </c>
      <c r="H41" s="31"/>
    </row>
    <row r="42" spans="1:8" s="1" customFormat="1" x14ac:dyDescent="0.25">
      <c r="A42" s="58">
        <f t="shared" si="2"/>
        <v>32</v>
      </c>
      <c r="B42" s="59">
        <f t="shared" si="1"/>
        <v>43470</v>
      </c>
      <c r="C42" s="60">
        <f t="shared" si="3"/>
        <v>31</v>
      </c>
      <c r="D42" s="60">
        <f t="shared" si="4"/>
        <v>55555555.555555746</v>
      </c>
      <c r="E42" s="60">
        <f t="shared" si="5"/>
        <v>11111111.111111112</v>
      </c>
      <c r="F42" s="60">
        <f t="shared" si="6"/>
        <v>8000000</v>
      </c>
      <c r="G42" s="60">
        <f t="shared" si="7"/>
        <v>19111111.111111112</v>
      </c>
      <c r="H42" s="31"/>
    </row>
    <row r="43" spans="1:8" s="1" customFormat="1" x14ac:dyDescent="0.25">
      <c r="A43" s="58">
        <f t="shared" si="2"/>
        <v>33</v>
      </c>
      <c r="B43" s="59">
        <f t="shared" si="1"/>
        <v>43501</v>
      </c>
      <c r="C43" s="60">
        <f t="shared" si="3"/>
        <v>31</v>
      </c>
      <c r="D43" s="60">
        <f t="shared" si="4"/>
        <v>44444444.444444634</v>
      </c>
      <c r="E43" s="60">
        <f t="shared" si="5"/>
        <v>11111111.111111112</v>
      </c>
      <c r="F43" s="60">
        <f t="shared" si="6"/>
        <v>8000000</v>
      </c>
      <c r="G43" s="60">
        <f t="shared" si="7"/>
        <v>19111111.111111112</v>
      </c>
      <c r="H43" s="31"/>
    </row>
    <row r="44" spans="1:8" s="1" customFormat="1" x14ac:dyDescent="0.25">
      <c r="A44" s="58">
        <f t="shared" si="2"/>
        <v>34</v>
      </c>
      <c r="B44" s="59">
        <f t="shared" ref="B44:B70" si="8" xml:space="preserve"> IFERROR(IF(A44&gt;$C$5,"",IF(DAY(EOMONTH(B43,1))&lt;=DAY($C$8),EOMONTH(B43,1),DATE(YEAR(B43),MONTH(B43)+1,DAY($C$8)))),"No date in system")</f>
        <v>43529</v>
      </c>
      <c r="C44" s="60">
        <f t="shared" si="3"/>
        <v>28</v>
      </c>
      <c r="D44" s="60">
        <f t="shared" si="4"/>
        <v>33333333.333333522</v>
      </c>
      <c r="E44" s="60">
        <f t="shared" si="5"/>
        <v>11111111.111111112</v>
      </c>
      <c r="F44" s="60">
        <f t="shared" si="6"/>
        <v>8000000</v>
      </c>
      <c r="G44" s="60">
        <f t="shared" si="7"/>
        <v>19111111.111111112</v>
      </c>
      <c r="H44" s="31"/>
    </row>
    <row r="45" spans="1:8" s="1" customFormat="1" x14ac:dyDescent="0.25">
      <c r="A45" s="58">
        <f t="shared" si="2"/>
        <v>35</v>
      </c>
      <c r="B45" s="59">
        <f t="shared" si="8"/>
        <v>43560</v>
      </c>
      <c r="C45" s="60">
        <f t="shared" si="3"/>
        <v>31</v>
      </c>
      <c r="D45" s="60">
        <f t="shared" si="4"/>
        <v>22222222.22222241</v>
      </c>
      <c r="E45" s="60">
        <f t="shared" si="5"/>
        <v>11111111.111111112</v>
      </c>
      <c r="F45" s="60">
        <f t="shared" si="6"/>
        <v>8000000</v>
      </c>
      <c r="G45" s="60">
        <f t="shared" si="7"/>
        <v>19111111.111111112</v>
      </c>
      <c r="H45" s="31"/>
    </row>
    <row r="46" spans="1:8" s="1" customFormat="1" x14ac:dyDescent="0.25">
      <c r="A46" s="58">
        <f t="shared" si="2"/>
        <v>36</v>
      </c>
      <c r="B46" s="59">
        <f t="shared" si="8"/>
        <v>43590</v>
      </c>
      <c r="C46" s="60">
        <f t="shared" si="3"/>
        <v>30</v>
      </c>
      <c r="D46" s="60">
        <f t="shared" si="4"/>
        <v>11111111.111111298</v>
      </c>
      <c r="E46" s="60">
        <f t="shared" si="5"/>
        <v>11111111.111111112</v>
      </c>
      <c r="F46" s="60">
        <f t="shared" si="6"/>
        <v>8000000</v>
      </c>
      <c r="G46" s="60">
        <f t="shared" si="7"/>
        <v>19111111.111111112</v>
      </c>
      <c r="H46" s="31"/>
    </row>
    <row r="47" spans="1:8" s="1" customFormat="1" x14ac:dyDescent="0.25">
      <c r="A47" s="58" t="str">
        <f t="shared" si="2"/>
        <v/>
      </c>
      <c r="B47" s="59" t="str">
        <f t="shared" si="8"/>
        <v/>
      </c>
      <c r="C47" s="60" t="str">
        <f t="shared" si="3"/>
        <v/>
      </c>
      <c r="D47" s="60" t="str">
        <f t="shared" si="4"/>
        <v/>
      </c>
      <c r="E47" s="60" t="str">
        <f t="shared" si="5"/>
        <v/>
      </c>
      <c r="F47" s="60" t="str">
        <f t="shared" si="6"/>
        <v/>
      </c>
      <c r="G47" s="60" t="str">
        <f t="shared" si="7"/>
        <v/>
      </c>
      <c r="H47" s="31"/>
    </row>
    <row r="48" spans="1:8" s="1" customFormat="1" x14ac:dyDescent="0.25">
      <c r="A48" s="58" t="str">
        <f t="shared" si="2"/>
        <v/>
      </c>
      <c r="B48" s="59" t="str">
        <f t="shared" si="8"/>
        <v/>
      </c>
      <c r="C48" s="60" t="str">
        <f t="shared" si="3"/>
        <v/>
      </c>
      <c r="D48" s="60" t="str">
        <f t="shared" si="4"/>
        <v/>
      </c>
      <c r="E48" s="60" t="str">
        <f t="shared" si="5"/>
        <v/>
      </c>
      <c r="F48" s="60" t="str">
        <f t="shared" si="6"/>
        <v/>
      </c>
      <c r="G48" s="60" t="str">
        <f t="shared" si="7"/>
        <v/>
      </c>
      <c r="H48" s="31"/>
    </row>
    <row r="49" spans="1:8" s="1" customFormat="1" x14ac:dyDescent="0.25">
      <c r="A49" s="58" t="str">
        <f t="shared" si="2"/>
        <v/>
      </c>
      <c r="B49" s="59" t="str">
        <f t="shared" si="8"/>
        <v/>
      </c>
      <c r="C49" s="60" t="str">
        <f t="shared" si="3"/>
        <v/>
      </c>
      <c r="D49" s="60" t="str">
        <f t="shared" si="4"/>
        <v/>
      </c>
      <c r="E49" s="60" t="str">
        <f t="shared" si="5"/>
        <v/>
      </c>
      <c r="F49" s="60" t="str">
        <f t="shared" si="6"/>
        <v/>
      </c>
      <c r="G49" s="60" t="str">
        <f t="shared" si="7"/>
        <v/>
      </c>
      <c r="H49" s="31"/>
    </row>
    <row r="50" spans="1:8" s="1" customFormat="1" x14ac:dyDescent="0.25">
      <c r="A50" s="58" t="str">
        <f t="shared" si="2"/>
        <v/>
      </c>
      <c r="B50" s="59" t="str">
        <f t="shared" si="8"/>
        <v/>
      </c>
      <c r="C50" s="60" t="str">
        <f t="shared" si="3"/>
        <v/>
      </c>
      <c r="D50" s="60" t="str">
        <f t="shared" si="4"/>
        <v/>
      </c>
      <c r="E50" s="60" t="str">
        <f t="shared" si="5"/>
        <v/>
      </c>
      <c r="F50" s="60" t="str">
        <f t="shared" si="6"/>
        <v/>
      </c>
      <c r="G50" s="60" t="str">
        <f t="shared" si="7"/>
        <v/>
      </c>
      <c r="H50" s="31"/>
    </row>
    <row r="51" spans="1:8" s="1" customFormat="1" x14ac:dyDescent="0.25">
      <c r="A51" s="58" t="str">
        <f t="shared" si="2"/>
        <v/>
      </c>
      <c r="B51" s="59" t="str">
        <f t="shared" si="8"/>
        <v/>
      </c>
      <c r="C51" s="60" t="str">
        <f t="shared" si="3"/>
        <v/>
      </c>
      <c r="D51" s="60" t="str">
        <f t="shared" si="4"/>
        <v/>
      </c>
      <c r="E51" s="60" t="str">
        <f t="shared" si="5"/>
        <v/>
      </c>
      <c r="F51" s="60" t="str">
        <f t="shared" si="6"/>
        <v/>
      </c>
      <c r="G51" s="60" t="str">
        <f t="shared" si="7"/>
        <v/>
      </c>
      <c r="H51" s="31"/>
    </row>
    <row r="52" spans="1:8" s="1" customFormat="1" x14ac:dyDescent="0.25">
      <c r="A52" s="58" t="str">
        <f t="shared" si="2"/>
        <v/>
      </c>
      <c r="B52" s="59" t="str">
        <f t="shared" si="8"/>
        <v/>
      </c>
      <c r="C52" s="60" t="str">
        <f t="shared" si="3"/>
        <v/>
      </c>
      <c r="D52" s="60" t="str">
        <f t="shared" si="4"/>
        <v/>
      </c>
      <c r="E52" s="60" t="str">
        <f t="shared" si="5"/>
        <v/>
      </c>
      <c r="F52" s="60" t="str">
        <f t="shared" si="6"/>
        <v/>
      </c>
      <c r="G52" s="60" t="str">
        <f t="shared" si="7"/>
        <v/>
      </c>
      <c r="H52" s="31"/>
    </row>
    <row r="53" spans="1:8" s="1" customFormat="1" x14ac:dyDescent="0.25">
      <c r="A53" s="58" t="str">
        <f t="shared" si="2"/>
        <v/>
      </c>
      <c r="B53" s="59" t="str">
        <f t="shared" si="8"/>
        <v/>
      </c>
      <c r="C53" s="60" t="str">
        <f t="shared" si="3"/>
        <v/>
      </c>
      <c r="D53" s="60" t="str">
        <f t="shared" si="4"/>
        <v/>
      </c>
      <c r="E53" s="60" t="str">
        <f t="shared" si="5"/>
        <v/>
      </c>
      <c r="F53" s="60" t="str">
        <f t="shared" si="6"/>
        <v/>
      </c>
      <c r="G53" s="60" t="str">
        <f t="shared" si="7"/>
        <v/>
      </c>
      <c r="H53" s="31"/>
    </row>
    <row r="54" spans="1:8" s="1" customFormat="1" x14ac:dyDescent="0.25">
      <c r="A54" s="58" t="str">
        <f t="shared" si="2"/>
        <v/>
      </c>
      <c r="B54" s="59" t="str">
        <f t="shared" si="8"/>
        <v/>
      </c>
      <c r="C54" s="60" t="str">
        <f t="shared" si="3"/>
        <v/>
      </c>
      <c r="D54" s="60" t="str">
        <f t="shared" si="4"/>
        <v/>
      </c>
      <c r="E54" s="60" t="str">
        <f t="shared" si="5"/>
        <v/>
      </c>
      <c r="F54" s="60" t="str">
        <f t="shared" si="6"/>
        <v/>
      </c>
      <c r="G54" s="60" t="str">
        <f t="shared" si="7"/>
        <v/>
      </c>
      <c r="H54" s="31"/>
    </row>
    <row r="55" spans="1:8" s="1" customFormat="1" x14ac:dyDescent="0.25">
      <c r="A55" s="58" t="str">
        <f t="shared" si="2"/>
        <v/>
      </c>
      <c r="B55" s="59" t="str">
        <f t="shared" si="8"/>
        <v/>
      </c>
      <c r="C55" s="60" t="str">
        <f t="shared" si="3"/>
        <v/>
      </c>
      <c r="D55" s="60" t="str">
        <f t="shared" si="4"/>
        <v/>
      </c>
      <c r="E55" s="60" t="str">
        <f t="shared" si="5"/>
        <v/>
      </c>
      <c r="F55" s="60" t="str">
        <f t="shared" si="6"/>
        <v/>
      </c>
      <c r="G55" s="60" t="str">
        <f t="shared" si="7"/>
        <v/>
      </c>
      <c r="H55" s="31"/>
    </row>
    <row r="56" spans="1:8" s="1" customFormat="1" x14ac:dyDescent="0.25">
      <c r="A56" s="58" t="str">
        <f t="shared" si="2"/>
        <v/>
      </c>
      <c r="B56" s="59" t="str">
        <f t="shared" si="8"/>
        <v/>
      </c>
      <c r="C56" s="60" t="str">
        <f t="shared" si="3"/>
        <v/>
      </c>
      <c r="D56" s="60" t="str">
        <f t="shared" si="4"/>
        <v/>
      </c>
      <c r="E56" s="60" t="str">
        <f t="shared" si="5"/>
        <v/>
      </c>
      <c r="F56" s="60" t="str">
        <f t="shared" si="6"/>
        <v/>
      </c>
      <c r="G56" s="60" t="str">
        <f t="shared" si="7"/>
        <v/>
      </c>
      <c r="H56" s="31"/>
    </row>
    <row r="57" spans="1:8" s="1" customFormat="1" x14ac:dyDescent="0.25">
      <c r="A57" s="58" t="str">
        <f t="shared" si="2"/>
        <v/>
      </c>
      <c r="B57" s="59" t="str">
        <f t="shared" si="8"/>
        <v/>
      </c>
      <c r="C57" s="60" t="str">
        <f t="shared" si="3"/>
        <v/>
      </c>
      <c r="D57" s="60" t="str">
        <f t="shared" si="4"/>
        <v/>
      </c>
      <c r="E57" s="60" t="str">
        <f t="shared" si="5"/>
        <v/>
      </c>
      <c r="F57" s="60" t="str">
        <f t="shared" si="6"/>
        <v/>
      </c>
      <c r="G57" s="60" t="str">
        <f t="shared" si="7"/>
        <v/>
      </c>
      <c r="H57" s="31"/>
    </row>
    <row r="58" spans="1:8" s="1" customFormat="1" x14ac:dyDescent="0.25">
      <c r="A58" s="58" t="str">
        <f t="shared" si="2"/>
        <v/>
      </c>
      <c r="B58" s="59" t="str">
        <f t="shared" si="8"/>
        <v/>
      </c>
      <c r="C58" s="60" t="str">
        <f t="shared" si="3"/>
        <v/>
      </c>
      <c r="D58" s="60" t="str">
        <f t="shared" si="4"/>
        <v/>
      </c>
      <c r="E58" s="60" t="str">
        <f t="shared" si="5"/>
        <v/>
      </c>
      <c r="F58" s="60" t="str">
        <f t="shared" si="6"/>
        <v/>
      </c>
      <c r="G58" s="60" t="str">
        <f t="shared" si="7"/>
        <v/>
      </c>
      <c r="H58" s="31"/>
    </row>
    <row r="59" spans="1:8" s="1" customFormat="1" x14ac:dyDescent="0.25">
      <c r="A59" s="58" t="str">
        <f t="shared" si="2"/>
        <v/>
      </c>
      <c r="B59" s="59" t="str">
        <f t="shared" si="8"/>
        <v/>
      </c>
      <c r="C59" s="60" t="str">
        <f t="shared" si="3"/>
        <v/>
      </c>
      <c r="D59" s="60" t="str">
        <f t="shared" si="4"/>
        <v/>
      </c>
      <c r="E59" s="60" t="str">
        <f t="shared" si="5"/>
        <v/>
      </c>
      <c r="F59" s="60" t="str">
        <f t="shared" si="6"/>
        <v/>
      </c>
      <c r="G59" s="60" t="str">
        <f t="shared" si="7"/>
        <v/>
      </c>
      <c r="H59" s="31"/>
    </row>
    <row r="60" spans="1:8" s="1" customFormat="1" x14ac:dyDescent="0.25">
      <c r="A60" s="58" t="str">
        <f t="shared" si="2"/>
        <v/>
      </c>
      <c r="B60" s="59" t="str">
        <f t="shared" si="8"/>
        <v/>
      </c>
      <c r="C60" s="60" t="str">
        <f t="shared" si="3"/>
        <v/>
      </c>
      <c r="D60" s="60" t="str">
        <f t="shared" si="4"/>
        <v/>
      </c>
      <c r="E60" s="60" t="str">
        <f t="shared" si="5"/>
        <v/>
      </c>
      <c r="F60" s="60" t="str">
        <f t="shared" si="6"/>
        <v/>
      </c>
      <c r="G60" s="60" t="str">
        <f t="shared" si="7"/>
        <v/>
      </c>
      <c r="H60" s="31"/>
    </row>
    <row r="61" spans="1:8" s="1" customFormat="1" x14ac:dyDescent="0.25">
      <c r="A61" s="58" t="str">
        <f t="shared" si="2"/>
        <v/>
      </c>
      <c r="B61" s="59" t="str">
        <f t="shared" si="8"/>
        <v/>
      </c>
      <c r="C61" s="60" t="str">
        <f t="shared" si="3"/>
        <v/>
      </c>
      <c r="D61" s="60" t="str">
        <f t="shared" si="4"/>
        <v/>
      </c>
      <c r="E61" s="60" t="str">
        <f t="shared" si="5"/>
        <v/>
      </c>
      <c r="F61" s="60" t="str">
        <f t="shared" si="6"/>
        <v/>
      </c>
      <c r="G61" s="60" t="str">
        <f t="shared" si="7"/>
        <v/>
      </c>
      <c r="H61" s="31"/>
    </row>
    <row r="62" spans="1:8" s="1" customFormat="1" x14ac:dyDescent="0.25">
      <c r="A62" s="58" t="str">
        <f t="shared" si="2"/>
        <v/>
      </c>
      <c r="B62" s="59" t="str">
        <f t="shared" si="8"/>
        <v/>
      </c>
      <c r="C62" s="60" t="str">
        <f t="shared" si="3"/>
        <v/>
      </c>
      <c r="D62" s="60" t="str">
        <f t="shared" si="4"/>
        <v/>
      </c>
      <c r="E62" s="60" t="str">
        <f t="shared" si="5"/>
        <v/>
      </c>
      <c r="F62" s="60" t="str">
        <f t="shared" si="6"/>
        <v/>
      </c>
      <c r="G62" s="60" t="str">
        <f t="shared" si="7"/>
        <v/>
      </c>
      <c r="H62" s="31"/>
    </row>
    <row r="63" spans="1:8" s="1" customFormat="1" x14ac:dyDescent="0.25">
      <c r="A63" s="58" t="str">
        <f t="shared" si="2"/>
        <v/>
      </c>
      <c r="B63" s="59" t="str">
        <f t="shared" si="8"/>
        <v/>
      </c>
      <c r="C63" s="60" t="str">
        <f t="shared" si="3"/>
        <v/>
      </c>
      <c r="D63" s="60" t="str">
        <f t="shared" si="4"/>
        <v/>
      </c>
      <c r="E63" s="60" t="str">
        <f t="shared" si="5"/>
        <v/>
      </c>
      <c r="F63" s="60" t="str">
        <f t="shared" si="6"/>
        <v/>
      </c>
      <c r="G63" s="60" t="str">
        <f t="shared" si="7"/>
        <v/>
      </c>
      <c r="H63" s="31"/>
    </row>
    <row r="64" spans="1:8" s="1" customFormat="1" x14ac:dyDescent="0.25">
      <c r="A64" s="58" t="str">
        <f t="shared" si="2"/>
        <v/>
      </c>
      <c r="B64" s="59" t="str">
        <f t="shared" si="8"/>
        <v/>
      </c>
      <c r="C64" s="60" t="str">
        <f t="shared" si="3"/>
        <v/>
      </c>
      <c r="D64" s="60" t="str">
        <f t="shared" si="4"/>
        <v/>
      </c>
      <c r="E64" s="60" t="str">
        <f t="shared" si="5"/>
        <v/>
      </c>
      <c r="F64" s="60" t="str">
        <f t="shared" si="6"/>
        <v/>
      </c>
      <c r="G64" s="60" t="str">
        <f t="shared" si="7"/>
        <v/>
      </c>
      <c r="H64" s="31"/>
    </row>
    <row r="65" spans="1:8" s="1" customFormat="1" x14ac:dyDescent="0.25">
      <c r="A65" s="58" t="str">
        <f t="shared" si="2"/>
        <v/>
      </c>
      <c r="B65" s="59" t="str">
        <f t="shared" si="8"/>
        <v/>
      </c>
      <c r="C65" s="60" t="str">
        <f t="shared" si="3"/>
        <v/>
      </c>
      <c r="D65" s="60" t="str">
        <f t="shared" si="4"/>
        <v/>
      </c>
      <c r="E65" s="60" t="str">
        <f t="shared" si="5"/>
        <v/>
      </c>
      <c r="F65" s="60" t="str">
        <f t="shared" si="6"/>
        <v/>
      </c>
      <c r="G65" s="60" t="str">
        <f t="shared" si="7"/>
        <v/>
      </c>
      <c r="H65" s="31"/>
    </row>
    <row r="66" spans="1:8" s="1" customFormat="1" x14ac:dyDescent="0.25">
      <c r="A66" s="58" t="str">
        <f t="shared" si="2"/>
        <v/>
      </c>
      <c r="B66" s="59" t="str">
        <f t="shared" si="8"/>
        <v/>
      </c>
      <c r="C66" s="60" t="str">
        <f t="shared" si="3"/>
        <v/>
      </c>
      <c r="D66" s="60" t="str">
        <f t="shared" si="4"/>
        <v/>
      </c>
      <c r="E66" s="60" t="str">
        <f t="shared" si="5"/>
        <v/>
      </c>
      <c r="F66" s="60" t="str">
        <f t="shared" si="6"/>
        <v/>
      </c>
      <c r="G66" s="60" t="str">
        <f t="shared" si="7"/>
        <v/>
      </c>
      <c r="H66" s="31"/>
    </row>
    <row r="67" spans="1:8" s="1" customFormat="1" x14ac:dyDescent="0.25">
      <c r="A67" s="58" t="str">
        <f t="shared" si="2"/>
        <v/>
      </c>
      <c r="B67" s="59" t="str">
        <f t="shared" si="8"/>
        <v/>
      </c>
      <c r="C67" s="60" t="str">
        <f t="shared" si="3"/>
        <v/>
      </c>
      <c r="D67" s="60" t="str">
        <f t="shared" si="4"/>
        <v/>
      </c>
      <c r="E67" s="60" t="str">
        <f t="shared" si="5"/>
        <v/>
      </c>
      <c r="F67" s="60" t="str">
        <f t="shared" si="6"/>
        <v/>
      </c>
      <c r="G67" s="60" t="str">
        <f t="shared" si="7"/>
        <v/>
      </c>
      <c r="H67" s="31"/>
    </row>
    <row r="68" spans="1:8" s="1" customFormat="1" x14ac:dyDescent="0.25">
      <c r="A68" s="58" t="str">
        <f t="shared" si="2"/>
        <v/>
      </c>
      <c r="B68" s="59" t="str">
        <f t="shared" si="8"/>
        <v/>
      </c>
      <c r="C68" s="60" t="str">
        <f t="shared" si="3"/>
        <v/>
      </c>
      <c r="D68" s="60" t="str">
        <f t="shared" si="4"/>
        <v/>
      </c>
      <c r="E68" s="60" t="str">
        <f t="shared" si="5"/>
        <v/>
      </c>
      <c r="F68" s="60" t="str">
        <f t="shared" si="6"/>
        <v/>
      </c>
      <c r="G68" s="60" t="str">
        <f t="shared" si="7"/>
        <v/>
      </c>
      <c r="H68" s="31"/>
    </row>
    <row r="69" spans="1:8" s="1" customFormat="1" x14ac:dyDescent="0.25">
      <c r="A69" s="58" t="str">
        <f t="shared" si="2"/>
        <v/>
      </c>
      <c r="B69" s="59" t="str">
        <f t="shared" si="8"/>
        <v/>
      </c>
      <c r="C69" s="60" t="str">
        <f t="shared" si="3"/>
        <v/>
      </c>
      <c r="D69" s="60" t="str">
        <f t="shared" si="4"/>
        <v/>
      </c>
      <c r="E69" s="60" t="str">
        <f t="shared" si="5"/>
        <v/>
      </c>
      <c r="F69" s="60" t="str">
        <f t="shared" si="6"/>
        <v/>
      </c>
      <c r="G69" s="60" t="str">
        <f t="shared" si="7"/>
        <v/>
      </c>
      <c r="H69" s="31"/>
    </row>
    <row r="70" spans="1:8" x14ac:dyDescent="0.25">
      <c r="A70" s="58" t="str">
        <f t="shared" si="2"/>
        <v/>
      </c>
      <c r="B70" s="59" t="str">
        <f t="shared" si="8"/>
        <v/>
      </c>
      <c r="C70" s="60" t="str">
        <f t="shared" si="3"/>
        <v/>
      </c>
      <c r="D70" s="60" t="str">
        <f t="shared" si="4"/>
        <v/>
      </c>
      <c r="E70" s="60" t="str">
        <f t="shared" si="5"/>
        <v/>
      </c>
      <c r="F70" s="60" t="str">
        <f t="shared" si="6"/>
        <v/>
      </c>
      <c r="G70" s="60" t="str">
        <f t="shared" si="7"/>
        <v/>
      </c>
    </row>
  </sheetData>
  <protectedRanges>
    <protectedRange sqref="B11:B70 C7:C8" name="Range1_1_1_1"/>
    <protectedRange sqref="C6" name="Range1"/>
  </protectedRanges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showGridLines="0" workbookViewId="0">
      <selection activeCell="F12" sqref="F12"/>
    </sheetView>
  </sheetViews>
  <sheetFormatPr defaultRowHeight="15" x14ac:dyDescent="0.25"/>
  <cols>
    <col min="1" max="1" width="5" style="5" customWidth="1"/>
    <col min="2" max="2" width="11.85546875" customWidth="1"/>
    <col min="3" max="4" width="12.140625" customWidth="1"/>
    <col min="5" max="5" width="11.28515625" customWidth="1"/>
    <col min="6" max="6" width="10.85546875" customWidth="1"/>
    <col min="7" max="7" width="11.7109375" customWidth="1"/>
    <col min="8" max="8" width="11.85546875" customWidth="1"/>
    <col min="9" max="9" width="12.28515625" customWidth="1"/>
    <col min="10" max="10" width="12.42578125" customWidth="1"/>
    <col min="11" max="11" width="11.28515625" customWidth="1"/>
    <col min="12" max="12" width="9.7109375" bestFit="1" customWidth="1"/>
  </cols>
  <sheetData>
    <row r="1" spans="1:12" ht="20.25" customHeight="1" x14ac:dyDescent="0.3">
      <c r="A1" s="116" t="s">
        <v>32</v>
      </c>
      <c r="B1" s="116"/>
      <c r="C1" s="116"/>
      <c r="D1" s="116"/>
      <c r="E1" s="116"/>
      <c r="F1" s="116"/>
      <c r="G1" s="116"/>
      <c r="H1" s="116"/>
      <c r="I1" s="116"/>
    </row>
    <row r="2" spans="1:12" ht="15.75" customHeight="1" x14ac:dyDescent="0.25">
      <c r="A2" s="117" t="s">
        <v>51</v>
      </c>
      <c r="B2" s="117"/>
      <c r="C2" s="117"/>
      <c r="D2" s="117"/>
      <c r="E2" s="117"/>
      <c r="F2" s="117"/>
      <c r="G2" s="117"/>
      <c r="H2" s="117"/>
      <c r="I2" s="117"/>
    </row>
    <row r="3" spans="1:12" ht="16.5" x14ac:dyDescent="0.25">
      <c r="A3" s="7"/>
      <c r="B3" s="8"/>
      <c r="C3" s="9"/>
      <c r="D3" s="18"/>
      <c r="E3" s="18"/>
      <c r="F3" s="107" t="s">
        <v>57</v>
      </c>
      <c r="G3" s="107"/>
      <c r="H3" s="108"/>
      <c r="I3" s="108"/>
    </row>
    <row r="4" spans="1:12" ht="16.5" x14ac:dyDescent="0.25">
      <c r="A4" s="105" t="s">
        <v>9</v>
      </c>
      <c r="B4" s="8"/>
      <c r="C4" s="101">
        <v>400000000</v>
      </c>
      <c r="D4" s="18"/>
      <c r="E4" s="18"/>
      <c r="F4" s="112" t="s">
        <v>53</v>
      </c>
      <c r="G4" s="109"/>
      <c r="H4" s="108"/>
      <c r="I4" s="108"/>
    </row>
    <row r="5" spans="1:12" ht="15.75" customHeight="1" x14ac:dyDescent="0.25">
      <c r="A5" s="105" t="s">
        <v>10</v>
      </c>
      <c r="B5" s="8"/>
      <c r="C5" s="102">
        <v>30</v>
      </c>
      <c r="D5" s="10"/>
      <c r="E5" s="10"/>
      <c r="F5" s="112" t="s">
        <v>52</v>
      </c>
      <c r="G5" s="109"/>
      <c r="H5" s="108"/>
      <c r="I5" s="108"/>
    </row>
    <row r="6" spans="1:12" ht="15.75" customHeight="1" x14ac:dyDescent="0.25">
      <c r="A6" s="64" t="s">
        <v>64</v>
      </c>
      <c r="B6" s="8"/>
      <c r="C6" s="103">
        <v>7.0000000000000007E-2</v>
      </c>
      <c r="D6" s="20"/>
      <c r="E6" s="20"/>
      <c r="F6" s="112" t="s">
        <v>54</v>
      </c>
      <c r="G6" s="109"/>
      <c r="H6" s="108"/>
      <c r="I6" s="108"/>
    </row>
    <row r="7" spans="1:12" ht="15.75" customHeight="1" x14ac:dyDescent="0.25">
      <c r="A7" s="106" t="s">
        <v>65</v>
      </c>
      <c r="B7" s="8"/>
      <c r="C7" s="104">
        <v>42509</v>
      </c>
      <c r="D7" s="20"/>
      <c r="E7" s="20"/>
      <c r="F7" s="112" t="s">
        <v>55</v>
      </c>
      <c r="G7" s="109"/>
      <c r="H7" s="108"/>
      <c r="I7" s="108"/>
    </row>
    <row r="8" spans="1:12" ht="15.75" customHeight="1" x14ac:dyDescent="0.25">
      <c r="A8" s="106" t="s">
        <v>66</v>
      </c>
      <c r="B8" s="8"/>
      <c r="C8" s="104">
        <v>42546</v>
      </c>
      <c r="D8" s="68"/>
      <c r="E8" s="68"/>
      <c r="F8" s="112" t="s">
        <v>56</v>
      </c>
      <c r="G8" s="109"/>
      <c r="H8" s="108"/>
      <c r="I8" s="108"/>
    </row>
    <row r="9" spans="1:12" ht="23.25" customHeight="1" x14ac:dyDescent="0.25">
      <c r="A9" s="13" t="s">
        <v>13</v>
      </c>
      <c r="B9" s="20"/>
      <c r="C9" s="96">
        <f>-PMT($C$6/12,$C$5,$C$4)</f>
        <v>14572762.899563752</v>
      </c>
      <c r="D9" s="110">
        <f>C9*C5</f>
        <v>437182886.98691255</v>
      </c>
      <c r="E9" s="97">
        <f>SUM(E11:E70)</f>
        <v>399999999.99999994</v>
      </c>
      <c r="F9" s="97">
        <f t="shared" ref="F9:G9" si="0">SUM(F11:F70)</f>
        <v>38234031.254553817</v>
      </c>
      <c r="G9" s="97">
        <f t="shared" si="0"/>
        <v>438234031.25455374</v>
      </c>
      <c r="H9" s="111">
        <f>G9/$C$5</f>
        <v>14607801.041818459</v>
      </c>
      <c r="I9" s="67"/>
      <c r="J9" s="31">
        <f>F9-'PT1- EMI'!E9</f>
        <v>1051144.2676412463</v>
      </c>
      <c r="L9" s="31">
        <f>J9+L11</f>
        <v>541737.96545151062</v>
      </c>
    </row>
    <row r="10" spans="1:12" s="100" customFormat="1" ht="29.25" customHeight="1" x14ac:dyDescent="0.25">
      <c r="A10" s="98" t="s">
        <v>0</v>
      </c>
      <c r="B10" s="98" t="s">
        <v>1</v>
      </c>
      <c r="C10" s="98" t="s">
        <v>2</v>
      </c>
      <c r="D10" s="98" t="s">
        <v>3</v>
      </c>
      <c r="E10" s="98" t="s">
        <v>4</v>
      </c>
      <c r="F10" s="99" t="s">
        <v>60</v>
      </c>
      <c r="G10" s="99" t="s">
        <v>61</v>
      </c>
      <c r="H10" s="98" t="s">
        <v>62</v>
      </c>
      <c r="I10" s="98" t="s">
        <v>63</v>
      </c>
    </row>
    <row r="11" spans="1:12" ht="16.5" customHeight="1" x14ac:dyDescent="0.25">
      <c r="A11" s="26">
        <v>1</v>
      </c>
      <c r="B11" s="65">
        <f xml:space="preserve"> IFERROR(IF(DAY(EOMONTH(C8,1))&lt;=DAY(C8),EOMONTH(C8,1),DATE(YEAR(C8),MONTH(C8),DAY(C8))),"No date in system")</f>
        <v>42546</v>
      </c>
      <c r="C11" s="91">
        <f>IF(A11&gt;$C$5,"",B11-C7)</f>
        <v>37</v>
      </c>
      <c r="D11" s="27">
        <f>C4</f>
        <v>400000000</v>
      </c>
      <c r="E11" s="27">
        <f>IF(A11&gt;$C$5,"",-PPMT($C$6/12,A11,$C$5,$C$4))</f>
        <v>12239429.566230416</v>
      </c>
      <c r="F11" s="95">
        <f>IF(A11&gt;$C$5,"",D11*$C$6/360*C11)</f>
        <v>2877777.777777778</v>
      </c>
      <c r="G11" s="95">
        <f>IF(A11&gt;$C$5,"",E11+F11)</f>
        <v>15117207.344008194</v>
      </c>
      <c r="H11" s="27">
        <f t="shared" ref="H11:H42" si="1">IF(A11&gt;$C$5,"",$H$9-E11)</f>
        <v>2368371.4755880423</v>
      </c>
      <c r="I11" s="27">
        <f>IF(A11&gt;$C$5,"",E11+H11)</f>
        <v>14607801.041818459</v>
      </c>
      <c r="J11" s="31">
        <f>SUM(F$11:F11)</f>
        <v>2877777.777777778</v>
      </c>
      <c r="K11" s="31">
        <f>SUM(H$11:H11)</f>
        <v>2368371.4755880423</v>
      </c>
      <c r="L11" s="31">
        <f>K11-J11</f>
        <v>-509406.3021897357</v>
      </c>
    </row>
    <row r="12" spans="1:12" x14ac:dyDescent="0.25">
      <c r="A12" s="26">
        <f t="shared" ref="A12:A43" si="2">IF(A11&lt;$C$5,A11+1,"")</f>
        <v>2</v>
      </c>
      <c r="B12" s="66">
        <f t="shared" ref="B12:B43" si="3" xml:space="preserve"> IFERROR(IF($A12&gt;$C$5,"",IF(DAY(EOMONTH(B11,1))&lt;=DAY($C$8),EOMONTH(B11,1),DATE(YEAR(B11),MONTH(B11)+1,DAY($C$8)))),"No date in system")</f>
        <v>42576</v>
      </c>
      <c r="C12" s="91">
        <f>IF(A12&gt;$C$5,"",B12-B11)</f>
        <v>30</v>
      </c>
      <c r="D12" s="27">
        <f t="shared" ref="D12:D43" si="4">IF(A11&gt;$C$5,"",D11-E11)</f>
        <v>387760570.43376958</v>
      </c>
      <c r="E12" s="27">
        <f t="shared" ref="E12:E70" si="5">IF(A12&gt;$C$5,"",-PPMT($C$6/12,A12,$C$5,$C$4))</f>
        <v>12310826.238700096</v>
      </c>
      <c r="F12" s="95">
        <f t="shared" ref="F12:F70" si="6">IF(A12&gt;$C$5,"",D12*$C$6/360*C12)</f>
        <v>2261936.6608636566</v>
      </c>
      <c r="G12" s="95">
        <f t="shared" ref="G12:G70" si="7">IF(A12&gt;$C$5,"",E12+F12)</f>
        <v>14572762.899563752</v>
      </c>
      <c r="H12" s="27">
        <f t="shared" si="1"/>
        <v>2296974.803118363</v>
      </c>
      <c r="I12" s="27">
        <f t="shared" ref="I12:I70" si="8">IF(A12&gt;$C$5,"",E12+H12)</f>
        <v>14607801.041818459</v>
      </c>
      <c r="J12" s="31">
        <f>SUM(F$11:F12)</f>
        <v>5139714.4386414345</v>
      </c>
      <c r="K12" s="31">
        <f>SUM(H$11:H12)</f>
        <v>4665346.2787064053</v>
      </c>
      <c r="L12" s="31">
        <f t="shared" ref="L12:L40" si="9">K12-J12</f>
        <v>-474368.15993502922</v>
      </c>
    </row>
    <row r="13" spans="1:12" x14ac:dyDescent="0.25">
      <c r="A13" s="26">
        <f t="shared" si="2"/>
        <v>3</v>
      </c>
      <c r="B13" s="66">
        <f t="shared" si="3"/>
        <v>42607</v>
      </c>
      <c r="C13" s="91">
        <f t="shared" ref="C13:C70" si="10">IF(A13&gt;$C$5,"",B13-B12)</f>
        <v>31</v>
      </c>
      <c r="D13" s="27">
        <f t="shared" si="4"/>
        <v>375449744.19506949</v>
      </c>
      <c r="E13" s="27">
        <f t="shared" si="5"/>
        <v>12382639.39175918</v>
      </c>
      <c r="F13" s="95">
        <f t="shared" si="6"/>
        <v>2263127.6247313912</v>
      </c>
      <c r="G13" s="95">
        <f t="shared" si="7"/>
        <v>14645767.016490571</v>
      </c>
      <c r="H13" s="27">
        <f t="shared" si="1"/>
        <v>2225161.6500592791</v>
      </c>
      <c r="I13" s="27">
        <f t="shared" si="8"/>
        <v>14607801.041818459</v>
      </c>
      <c r="J13" s="31">
        <f>SUM(F$11:F13)</f>
        <v>7402842.0633728262</v>
      </c>
      <c r="K13" s="31">
        <f>SUM(H$11:H13)</f>
        <v>6890507.9287656844</v>
      </c>
      <c r="L13" s="31">
        <f t="shared" si="9"/>
        <v>-512334.13460714184</v>
      </c>
    </row>
    <row r="14" spans="1:12" x14ac:dyDescent="0.25">
      <c r="A14" s="26">
        <f t="shared" si="2"/>
        <v>4</v>
      </c>
      <c r="B14" s="66">
        <f t="shared" si="3"/>
        <v>42638</v>
      </c>
      <c r="C14" s="91">
        <f t="shared" si="10"/>
        <v>31</v>
      </c>
      <c r="D14" s="27">
        <f t="shared" si="4"/>
        <v>363067104.80331033</v>
      </c>
      <c r="E14" s="27">
        <f t="shared" si="5"/>
        <v>12454871.454877773</v>
      </c>
      <c r="F14" s="95">
        <f t="shared" si="6"/>
        <v>2188487.82617551</v>
      </c>
      <c r="G14" s="95">
        <f t="shared" si="7"/>
        <v>14643359.281053282</v>
      </c>
      <c r="H14" s="27">
        <f t="shared" si="1"/>
        <v>2152929.5869406853</v>
      </c>
      <c r="I14" s="27">
        <f t="shared" si="8"/>
        <v>14607801.041818459</v>
      </c>
      <c r="J14" s="31">
        <f>SUM(F$11:F14)</f>
        <v>9591329.8895483352</v>
      </c>
      <c r="K14" s="31">
        <f>SUM(H$11:H14)</f>
        <v>9043437.5157063697</v>
      </c>
      <c r="L14" s="31">
        <f t="shared" si="9"/>
        <v>-547892.37384196557</v>
      </c>
    </row>
    <row r="15" spans="1:12" x14ac:dyDescent="0.25">
      <c r="A15" s="26">
        <f t="shared" si="2"/>
        <v>5</v>
      </c>
      <c r="B15" s="66">
        <f t="shared" si="3"/>
        <v>42668</v>
      </c>
      <c r="C15" s="91">
        <f t="shared" si="10"/>
        <v>30</v>
      </c>
      <c r="D15" s="27">
        <f t="shared" si="4"/>
        <v>350612233.34843254</v>
      </c>
      <c r="E15" s="27">
        <f t="shared" si="5"/>
        <v>12527524.871697895</v>
      </c>
      <c r="F15" s="95">
        <f t="shared" si="6"/>
        <v>2045238.0278658564</v>
      </c>
      <c r="G15" s="95">
        <f t="shared" si="7"/>
        <v>14572762.899563752</v>
      </c>
      <c r="H15" s="27">
        <f t="shared" si="1"/>
        <v>2080276.1701205634</v>
      </c>
      <c r="I15" s="27">
        <f t="shared" si="8"/>
        <v>14607801.041818459</v>
      </c>
      <c r="J15" s="31">
        <f>SUM(F$11:F15)</f>
        <v>11636567.917414192</v>
      </c>
      <c r="K15" s="31">
        <f>SUM(H$11:H15)</f>
        <v>11123713.685826933</v>
      </c>
      <c r="L15" s="31">
        <f t="shared" si="9"/>
        <v>-512854.2315872591</v>
      </c>
    </row>
    <row r="16" spans="1:12" x14ac:dyDescent="0.25">
      <c r="A16" s="26">
        <f t="shared" si="2"/>
        <v>6</v>
      </c>
      <c r="B16" s="66">
        <f t="shared" si="3"/>
        <v>42699</v>
      </c>
      <c r="C16" s="91">
        <f t="shared" si="10"/>
        <v>31</v>
      </c>
      <c r="D16" s="27">
        <f t="shared" si="4"/>
        <v>338084708.47673464</v>
      </c>
      <c r="E16" s="27">
        <f t="shared" si="5"/>
        <v>12600602.100116132</v>
      </c>
      <c r="F16" s="95">
        <f t="shared" si="6"/>
        <v>2037899.4927625395</v>
      </c>
      <c r="G16" s="95">
        <f t="shared" si="7"/>
        <v>14638501.592878671</v>
      </c>
      <c r="H16" s="27">
        <f t="shared" si="1"/>
        <v>2007198.9417023268</v>
      </c>
      <c r="I16" s="27">
        <f t="shared" si="8"/>
        <v>14607801.041818459</v>
      </c>
      <c r="J16" s="31">
        <f>SUM(F$11:F16)</f>
        <v>13674467.410176732</v>
      </c>
      <c r="K16" s="31">
        <f>SUM(H$11:H16)</f>
        <v>13130912.62752926</v>
      </c>
      <c r="L16" s="31">
        <f t="shared" si="9"/>
        <v>-543554.78264747187</v>
      </c>
    </row>
    <row r="17" spans="1:12" x14ac:dyDescent="0.25">
      <c r="A17" s="26">
        <f t="shared" si="2"/>
        <v>7</v>
      </c>
      <c r="B17" s="66">
        <f t="shared" si="3"/>
        <v>42729</v>
      </c>
      <c r="C17" s="91">
        <f t="shared" si="10"/>
        <v>30</v>
      </c>
      <c r="D17" s="27">
        <f t="shared" si="4"/>
        <v>325484106.3766185</v>
      </c>
      <c r="E17" s="27">
        <f t="shared" si="5"/>
        <v>12674105.61236681</v>
      </c>
      <c r="F17" s="95">
        <f t="shared" si="6"/>
        <v>1898657.2871969412</v>
      </c>
      <c r="G17" s="95">
        <f t="shared" si="7"/>
        <v>14572762.899563752</v>
      </c>
      <c r="H17" s="27">
        <f t="shared" si="1"/>
        <v>1933695.4294516481</v>
      </c>
      <c r="I17" s="27">
        <f t="shared" si="8"/>
        <v>14607801.041818459</v>
      </c>
      <c r="J17" s="31">
        <f>SUM(F$11:F17)</f>
        <v>15573124.697373673</v>
      </c>
      <c r="K17" s="31">
        <f>SUM(H$11:H17)</f>
        <v>15064608.056980908</v>
      </c>
      <c r="L17" s="31">
        <f t="shared" si="9"/>
        <v>-508516.6403927654</v>
      </c>
    </row>
    <row r="18" spans="1:12" x14ac:dyDescent="0.25">
      <c r="A18" s="26">
        <f t="shared" si="2"/>
        <v>8</v>
      </c>
      <c r="B18" s="66">
        <f t="shared" si="3"/>
        <v>42760</v>
      </c>
      <c r="C18" s="91">
        <f t="shared" si="10"/>
        <v>31</v>
      </c>
      <c r="D18" s="27">
        <f t="shared" si="4"/>
        <v>312810000.76425171</v>
      </c>
      <c r="E18" s="27">
        <f t="shared" si="5"/>
        <v>12748037.895105617</v>
      </c>
      <c r="F18" s="95">
        <f t="shared" si="6"/>
        <v>1885549.1712734061</v>
      </c>
      <c r="G18" s="95">
        <f t="shared" si="7"/>
        <v>14633587.066379024</v>
      </c>
      <c r="H18" s="27">
        <f t="shared" si="1"/>
        <v>1859763.1467128415</v>
      </c>
      <c r="I18" s="27">
        <f t="shared" si="8"/>
        <v>14607801.041818459</v>
      </c>
      <c r="J18" s="31">
        <f>SUM(F$11:F18)</f>
        <v>17458673.86864708</v>
      </c>
      <c r="K18" s="31">
        <f>SUM(H$11:H18)</f>
        <v>16924371.203693748</v>
      </c>
      <c r="L18" s="31">
        <f t="shared" si="9"/>
        <v>-534302.66495333239</v>
      </c>
    </row>
    <row r="19" spans="1:12" x14ac:dyDescent="0.25">
      <c r="A19" s="26">
        <f t="shared" si="2"/>
        <v>9</v>
      </c>
      <c r="B19" s="66">
        <f t="shared" si="3"/>
        <v>42791</v>
      </c>
      <c r="C19" s="91">
        <f t="shared" si="10"/>
        <v>31</v>
      </c>
      <c r="D19" s="27">
        <f t="shared" si="4"/>
        <v>300061962.86914611</v>
      </c>
      <c r="E19" s="27">
        <f t="shared" si="5"/>
        <v>12822401.44949373</v>
      </c>
      <c r="F19" s="95">
        <f t="shared" si="6"/>
        <v>1808706.8317390198</v>
      </c>
      <c r="G19" s="95">
        <f t="shared" si="7"/>
        <v>14631108.28123275</v>
      </c>
      <c r="H19" s="27">
        <f t="shared" si="1"/>
        <v>1785399.5923247281</v>
      </c>
      <c r="I19" s="27">
        <f t="shared" si="8"/>
        <v>14607801.041818459</v>
      </c>
      <c r="J19" s="31">
        <f>SUM(F$11:F19)</f>
        <v>19267380.7003861</v>
      </c>
      <c r="K19" s="31">
        <f>SUM(H$11:H19)</f>
        <v>18709770.796018474</v>
      </c>
      <c r="L19" s="31">
        <f t="shared" si="9"/>
        <v>-557609.90436762571</v>
      </c>
    </row>
    <row r="20" spans="1:12" x14ac:dyDescent="0.25">
      <c r="A20" s="26">
        <f t="shared" si="2"/>
        <v>10</v>
      </c>
      <c r="B20" s="66">
        <f t="shared" si="3"/>
        <v>42819</v>
      </c>
      <c r="C20" s="91">
        <f t="shared" si="10"/>
        <v>28</v>
      </c>
      <c r="D20" s="27">
        <f t="shared" si="4"/>
        <v>287239561.4196524</v>
      </c>
      <c r="E20" s="27">
        <f t="shared" si="5"/>
        <v>12897198.791282445</v>
      </c>
      <c r="F20" s="95">
        <f t="shared" si="6"/>
        <v>1563859.8343958855</v>
      </c>
      <c r="G20" s="95">
        <f t="shared" si="7"/>
        <v>14461058.625678331</v>
      </c>
      <c r="H20" s="27">
        <f t="shared" si="1"/>
        <v>1710602.2505360134</v>
      </c>
      <c r="I20" s="27">
        <f t="shared" si="8"/>
        <v>14607801.041818459</v>
      </c>
      <c r="J20" s="31">
        <f>SUM(F$11:F20)</f>
        <v>20831240.534781985</v>
      </c>
      <c r="K20" s="31">
        <f>SUM(H$11:H20)</f>
        <v>20420373.046554487</v>
      </c>
      <c r="L20" s="31">
        <f t="shared" si="9"/>
        <v>-410867.48822749779</v>
      </c>
    </row>
    <row r="21" spans="1:12" x14ac:dyDescent="0.25">
      <c r="A21" s="26">
        <f t="shared" si="2"/>
        <v>11</v>
      </c>
      <c r="B21" s="66">
        <f t="shared" si="3"/>
        <v>42850</v>
      </c>
      <c r="C21" s="91">
        <f t="shared" si="10"/>
        <v>31</v>
      </c>
      <c r="D21" s="27">
        <f t="shared" si="4"/>
        <v>274342362.62836993</v>
      </c>
      <c r="E21" s="27">
        <f t="shared" si="5"/>
        <v>12972432.450898262</v>
      </c>
      <c r="F21" s="95">
        <f t="shared" si="6"/>
        <v>1653674.796954341</v>
      </c>
      <c r="G21" s="95">
        <f t="shared" si="7"/>
        <v>14626107.247852603</v>
      </c>
      <c r="H21" s="27">
        <f t="shared" si="1"/>
        <v>1635368.5909201968</v>
      </c>
      <c r="I21" s="27">
        <f t="shared" si="8"/>
        <v>14607801.041818459</v>
      </c>
      <c r="J21" s="31">
        <f>SUM(F$11:F21)</f>
        <v>22484915.331736326</v>
      </c>
      <c r="K21" s="31">
        <f>SUM(H$11:H21)</f>
        <v>22055741.637474686</v>
      </c>
      <c r="L21" s="31">
        <f t="shared" si="9"/>
        <v>-429173.69426164031</v>
      </c>
    </row>
    <row r="22" spans="1:12" x14ac:dyDescent="0.25">
      <c r="A22" s="26">
        <f t="shared" si="2"/>
        <v>12</v>
      </c>
      <c r="B22" s="66">
        <f t="shared" si="3"/>
        <v>42880</v>
      </c>
      <c r="C22" s="91">
        <f t="shared" si="10"/>
        <v>30</v>
      </c>
      <c r="D22" s="27">
        <f t="shared" si="4"/>
        <v>261369930.17747167</v>
      </c>
      <c r="E22" s="27">
        <f t="shared" si="5"/>
        <v>13048104.973528501</v>
      </c>
      <c r="F22" s="95">
        <f t="shared" si="6"/>
        <v>1524657.9260352515</v>
      </c>
      <c r="G22" s="95">
        <f t="shared" si="7"/>
        <v>14572762.899563752</v>
      </c>
      <c r="H22" s="27">
        <f t="shared" si="1"/>
        <v>1559696.0682899579</v>
      </c>
      <c r="I22" s="27">
        <f t="shared" si="8"/>
        <v>14607801.041818459</v>
      </c>
      <c r="J22" s="31">
        <f>SUM(F$11:F22)</f>
        <v>24009573.257771578</v>
      </c>
      <c r="K22" s="31">
        <f>SUM(H$11:H22)</f>
        <v>23615437.705764644</v>
      </c>
      <c r="L22" s="31">
        <f t="shared" si="9"/>
        <v>-394135.55200693384</v>
      </c>
    </row>
    <row r="23" spans="1:12" x14ac:dyDescent="0.25">
      <c r="A23" s="26">
        <f t="shared" si="2"/>
        <v>13</v>
      </c>
      <c r="B23" s="66">
        <f t="shared" si="3"/>
        <v>42911</v>
      </c>
      <c r="C23" s="91">
        <f t="shared" si="10"/>
        <v>31</v>
      </c>
      <c r="D23" s="27">
        <f t="shared" si="4"/>
        <v>248321825.20394316</v>
      </c>
      <c r="E23" s="27">
        <f t="shared" si="5"/>
        <v>13124218.919207416</v>
      </c>
      <c r="F23" s="95">
        <f t="shared" si="6"/>
        <v>1496828.7797015465</v>
      </c>
      <c r="G23" s="95">
        <f t="shared" si="7"/>
        <v>14621047.698908962</v>
      </c>
      <c r="H23" s="27">
        <f t="shared" si="1"/>
        <v>1483582.1226110421</v>
      </c>
      <c r="I23" s="27">
        <f t="shared" si="8"/>
        <v>14607801.041818459</v>
      </c>
      <c r="J23" s="31">
        <f>SUM(F$11:F23)</f>
        <v>25506402.037473124</v>
      </c>
      <c r="K23" s="31">
        <f>SUM(H$11:H23)</f>
        <v>25099019.828375686</v>
      </c>
      <c r="L23" s="31">
        <f t="shared" si="9"/>
        <v>-407382.20909743756</v>
      </c>
    </row>
    <row r="24" spans="1:12" x14ac:dyDescent="0.25">
      <c r="A24" s="26">
        <f t="shared" si="2"/>
        <v>14</v>
      </c>
      <c r="B24" s="66">
        <f t="shared" si="3"/>
        <v>42941</v>
      </c>
      <c r="C24" s="91">
        <f t="shared" si="10"/>
        <v>30</v>
      </c>
      <c r="D24" s="27">
        <f t="shared" si="4"/>
        <v>235197606.28473574</v>
      </c>
      <c r="E24" s="27">
        <f t="shared" si="5"/>
        <v>13200776.862902794</v>
      </c>
      <c r="F24" s="95">
        <f t="shared" si="6"/>
        <v>1371986.0366609585</v>
      </c>
      <c r="G24" s="95">
        <f t="shared" si="7"/>
        <v>14572762.899563752</v>
      </c>
      <c r="H24" s="27">
        <f t="shared" si="1"/>
        <v>1407024.1789156646</v>
      </c>
      <c r="I24" s="27">
        <f t="shared" si="8"/>
        <v>14607801.041818459</v>
      </c>
      <c r="J24" s="31">
        <f>SUM(F$11:F24)</f>
        <v>26878388.074134082</v>
      </c>
      <c r="K24" s="31">
        <f>SUM(H$11:H24)</f>
        <v>26506044.007291351</v>
      </c>
      <c r="L24" s="31">
        <f t="shared" si="9"/>
        <v>-372344.06684273109</v>
      </c>
    </row>
    <row r="25" spans="1:12" x14ac:dyDescent="0.25">
      <c r="A25" s="26">
        <f t="shared" si="2"/>
        <v>15</v>
      </c>
      <c r="B25" s="66">
        <f t="shared" si="3"/>
        <v>42972</v>
      </c>
      <c r="C25" s="91">
        <f t="shared" si="10"/>
        <v>31</v>
      </c>
      <c r="D25" s="27">
        <f t="shared" si="4"/>
        <v>221996829.42183295</v>
      </c>
      <c r="E25" s="27">
        <f t="shared" si="5"/>
        <v>13277781.394603059</v>
      </c>
      <c r="F25" s="95">
        <f t="shared" si="6"/>
        <v>1338147.5551260489</v>
      </c>
      <c r="G25" s="95">
        <f t="shared" si="7"/>
        <v>14615928.949729107</v>
      </c>
      <c r="H25" s="27">
        <f t="shared" si="1"/>
        <v>1330019.6472153999</v>
      </c>
      <c r="I25" s="27">
        <f t="shared" si="8"/>
        <v>14607801.041818459</v>
      </c>
      <c r="J25" s="31">
        <f>SUM(F$11:F25)</f>
        <v>28216535.62926013</v>
      </c>
      <c r="K25" s="31">
        <f>SUM(H$11:H25)</f>
        <v>27836063.65450675</v>
      </c>
      <c r="L25" s="31">
        <f t="shared" si="9"/>
        <v>-380471.97475337982</v>
      </c>
    </row>
    <row r="26" spans="1:12" x14ac:dyDescent="0.25">
      <c r="A26" s="26">
        <f t="shared" si="2"/>
        <v>16</v>
      </c>
      <c r="B26" s="66">
        <f t="shared" si="3"/>
        <v>43003</v>
      </c>
      <c r="C26" s="91">
        <f t="shared" si="10"/>
        <v>31</v>
      </c>
      <c r="D26" s="27">
        <f t="shared" si="4"/>
        <v>208719048.02722991</v>
      </c>
      <c r="E26" s="27">
        <f t="shared" si="5"/>
        <v>13355235.11940491</v>
      </c>
      <c r="F26" s="95">
        <f t="shared" si="6"/>
        <v>1258112.0394974693</v>
      </c>
      <c r="G26" s="95">
        <f t="shared" si="7"/>
        <v>14613347.158902379</v>
      </c>
      <c r="H26" s="27">
        <f t="shared" si="1"/>
        <v>1252565.9224135485</v>
      </c>
      <c r="I26" s="27">
        <f t="shared" si="8"/>
        <v>14607801.041818459</v>
      </c>
      <c r="J26" s="31">
        <f>SUM(F$11:F26)</f>
        <v>29474647.668757599</v>
      </c>
      <c r="K26" s="31">
        <f>SUM(H$11:H26)</f>
        <v>29088629.576920301</v>
      </c>
      <c r="L26" s="31">
        <f t="shared" si="9"/>
        <v>-386018.09183729813</v>
      </c>
    </row>
    <row r="27" spans="1:12" x14ac:dyDescent="0.25">
      <c r="A27" s="26">
        <f t="shared" si="2"/>
        <v>17</v>
      </c>
      <c r="B27" s="66">
        <f t="shared" si="3"/>
        <v>43033</v>
      </c>
      <c r="C27" s="91">
        <f t="shared" si="10"/>
        <v>30</v>
      </c>
      <c r="D27" s="27">
        <f t="shared" si="4"/>
        <v>195363812.90782499</v>
      </c>
      <c r="E27" s="27">
        <f t="shared" si="5"/>
        <v>13433140.657601438</v>
      </c>
      <c r="F27" s="95">
        <f t="shared" si="6"/>
        <v>1139622.2419623125</v>
      </c>
      <c r="G27" s="95">
        <f t="shared" si="7"/>
        <v>14572762.89956375</v>
      </c>
      <c r="H27" s="27">
        <f t="shared" si="1"/>
        <v>1174660.3842170201</v>
      </c>
      <c r="I27" s="27">
        <f t="shared" si="8"/>
        <v>14607801.041818459</v>
      </c>
      <c r="J27" s="31">
        <f>SUM(F$11:F27)</f>
        <v>30614269.910719912</v>
      </c>
      <c r="K27" s="31">
        <f>SUM(H$11:H27)</f>
        <v>30263289.961137321</v>
      </c>
      <c r="L27" s="31">
        <f t="shared" si="9"/>
        <v>-350979.94958259165</v>
      </c>
    </row>
    <row r="28" spans="1:12" x14ac:dyDescent="0.25">
      <c r="A28" s="26">
        <f t="shared" si="2"/>
        <v>18</v>
      </c>
      <c r="B28" s="66">
        <f t="shared" si="3"/>
        <v>43064</v>
      </c>
      <c r="C28" s="91">
        <f t="shared" si="10"/>
        <v>31</v>
      </c>
      <c r="D28" s="27">
        <f t="shared" si="4"/>
        <v>181930672.25022355</v>
      </c>
      <c r="E28" s="27">
        <f t="shared" si="5"/>
        <v>13511500.644770781</v>
      </c>
      <c r="F28" s="95">
        <f t="shared" si="6"/>
        <v>1096637.6632860699</v>
      </c>
      <c r="G28" s="95">
        <f t="shared" si="7"/>
        <v>14608138.30805685</v>
      </c>
      <c r="H28" s="27">
        <f t="shared" si="1"/>
        <v>1096300.397047678</v>
      </c>
      <c r="I28" s="27">
        <f t="shared" si="8"/>
        <v>14607801.041818459</v>
      </c>
      <c r="J28" s="31">
        <f>SUM(F$11:F28)</f>
        <v>31710907.574005984</v>
      </c>
      <c r="K28" s="31">
        <f>SUM(H$11:H28)</f>
        <v>31359590.358185001</v>
      </c>
      <c r="L28" s="31">
        <f t="shared" si="9"/>
        <v>-351317.21582098305</v>
      </c>
    </row>
    <row r="29" spans="1:12" x14ac:dyDescent="0.25">
      <c r="A29" s="26">
        <f t="shared" si="2"/>
        <v>19</v>
      </c>
      <c r="B29" s="66">
        <f t="shared" si="3"/>
        <v>43094</v>
      </c>
      <c r="C29" s="91">
        <f t="shared" si="10"/>
        <v>30</v>
      </c>
      <c r="D29" s="27">
        <f t="shared" si="4"/>
        <v>168419171.60545278</v>
      </c>
      <c r="E29" s="27">
        <f t="shared" si="5"/>
        <v>13590317.731865276</v>
      </c>
      <c r="F29" s="95">
        <f t="shared" si="6"/>
        <v>982445.1676984746</v>
      </c>
      <c r="G29" s="95">
        <f t="shared" si="7"/>
        <v>14572762.89956375</v>
      </c>
      <c r="H29" s="27">
        <f t="shared" si="1"/>
        <v>1017483.3099531829</v>
      </c>
      <c r="I29" s="27">
        <f t="shared" si="8"/>
        <v>14607801.041818459</v>
      </c>
      <c r="J29" s="31">
        <f>SUM(F$11:F29)</f>
        <v>32693352.741704457</v>
      </c>
      <c r="K29" s="31">
        <f>SUM(H$11:H29)</f>
        <v>32377073.668138184</v>
      </c>
      <c r="L29" s="31">
        <f t="shared" si="9"/>
        <v>-316279.07356627285</v>
      </c>
    </row>
    <row r="30" spans="1:12" x14ac:dyDescent="0.25">
      <c r="A30" s="26">
        <f t="shared" si="2"/>
        <v>20</v>
      </c>
      <c r="B30" s="66">
        <f t="shared" si="3"/>
        <v>43125</v>
      </c>
      <c r="C30" s="91">
        <f t="shared" si="10"/>
        <v>31</v>
      </c>
      <c r="D30" s="27">
        <f t="shared" si="4"/>
        <v>154828853.87358749</v>
      </c>
      <c r="E30" s="27">
        <f t="shared" si="5"/>
        <v>13669594.585301157</v>
      </c>
      <c r="F30" s="95">
        <f t="shared" si="6"/>
        <v>933273.92473801353</v>
      </c>
      <c r="G30" s="95">
        <f t="shared" si="7"/>
        <v>14602868.510039171</v>
      </c>
      <c r="H30" s="27">
        <f t="shared" si="1"/>
        <v>938206.4565173015</v>
      </c>
      <c r="I30" s="27">
        <f t="shared" si="8"/>
        <v>14607801.041818459</v>
      </c>
      <c r="J30" s="31">
        <f>SUM(F$11:F30)</f>
        <v>33626626.666442469</v>
      </c>
      <c r="K30" s="31">
        <f>SUM(H$11:H30)</f>
        <v>33315280.124655485</v>
      </c>
      <c r="L30" s="31">
        <f t="shared" si="9"/>
        <v>-311346.54178698361</v>
      </c>
    </row>
    <row r="31" spans="1:12" x14ac:dyDescent="0.25">
      <c r="A31" s="26">
        <f t="shared" si="2"/>
        <v>21</v>
      </c>
      <c r="B31" s="66">
        <f t="shared" si="3"/>
        <v>43156</v>
      </c>
      <c r="C31" s="91">
        <f t="shared" si="10"/>
        <v>31</v>
      </c>
      <c r="D31" s="27">
        <f t="shared" si="4"/>
        <v>141159259.28828633</v>
      </c>
      <c r="E31" s="27">
        <f t="shared" si="5"/>
        <v>13749333.887048749</v>
      </c>
      <c r="F31" s="95">
        <f t="shared" si="6"/>
        <v>850876.64626550372</v>
      </c>
      <c r="G31" s="95">
        <f t="shared" si="7"/>
        <v>14600210.533314252</v>
      </c>
      <c r="H31" s="27">
        <f t="shared" si="1"/>
        <v>858467.15476970933</v>
      </c>
      <c r="I31" s="27">
        <f t="shared" si="8"/>
        <v>14607801.041818459</v>
      </c>
      <c r="J31" s="31">
        <f>SUM(F$11:F31)</f>
        <v>34477503.312707976</v>
      </c>
      <c r="K31" s="31">
        <f>SUM(H$11:H31)</f>
        <v>34173747.279425196</v>
      </c>
      <c r="L31" s="31">
        <f t="shared" si="9"/>
        <v>-303756.03328277916</v>
      </c>
    </row>
    <row r="32" spans="1:12" x14ac:dyDescent="0.25">
      <c r="A32" s="26">
        <f t="shared" si="2"/>
        <v>22</v>
      </c>
      <c r="B32" s="66">
        <f t="shared" si="3"/>
        <v>43184</v>
      </c>
      <c r="C32" s="91">
        <f t="shared" si="10"/>
        <v>28</v>
      </c>
      <c r="D32" s="27">
        <f t="shared" si="4"/>
        <v>127409925.40123758</v>
      </c>
      <c r="E32" s="27">
        <f t="shared" si="5"/>
        <v>13829538.334723199</v>
      </c>
      <c r="F32" s="95">
        <f t="shared" si="6"/>
        <v>693676.260517849</v>
      </c>
      <c r="G32" s="95">
        <f t="shared" si="7"/>
        <v>14523214.595241047</v>
      </c>
      <c r="H32" s="27">
        <f t="shared" si="1"/>
        <v>778262.7070952598</v>
      </c>
      <c r="I32" s="27">
        <f t="shared" si="8"/>
        <v>14607801.041818459</v>
      </c>
      <c r="J32" s="31">
        <f>SUM(F$11:F32)</f>
        <v>35171179.573225826</v>
      </c>
      <c r="K32" s="31">
        <f>SUM(H$11:H32)</f>
        <v>34952009.986520454</v>
      </c>
      <c r="L32" s="31">
        <f t="shared" si="9"/>
        <v>-219169.58670537174</v>
      </c>
    </row>
    <row r="33" spans="1:12" x14ac:dyDescent="0.25">
      <c r="A33" s="26">
        <f t="shared" si="2"/>
        <v>23</v>
      </c>
      <c r="B33" s="66">
        <f t="shared" si="3"/>
        <v>43215</v>
      </c>
      <c r="C33" s="91">
        <f t="shared" si="10"/>
        <v>31</v>
      </c>
      <c r="D33" s="27">
        <f t="shared" si="4"/>
        <v>113580387.06651437</v>
      </c>
      <c r="E33" s="27">
        <f t="shared" si="5"/>
        <v>13910210.64167575</v>
      </c>
      <c r="F33" s="95">
        <f t="shared" si="6"/>
        <v>684637.33315093385</v>
      </c>
      <c r="G33" s="95">
        <f t="shared" si="7"/>
        <v>14594847.974826684</v>
      </c>
      <c r="H33" s="27">
        <f t="shared" si="1"/>
        <v>697590.40014270879</v>
      </c>
      <c r="I33" s="27">
        <f t="shared" si="8"/>
        <v>14607801.041818459</v>
      </c>
      <c r="J33" s="31">
        <f>SUM(F$11:F33)</f>
        <v>35855816.906376757</v>
      </c>
      <c r="K33" s="31">
        <f>SUM(H$11:H33)</f>
        <v>35649600.386663161</v>
      </c>
      <c r="L33" s="31">
        <f t="shared" si="9"/>
        <v>-206216.51971359551</v>
      </c>
    </row>
    <row r="34" spans="1:12" x14ac:dyDescent="0.25">
      <c r="A34" s="26">
        <f t="shared" si="2"/>
        <v>24</v>
      </c>
      <c r="B34" s="66">
        <f t="shared" si="3"/>
        <v>43245</v>
      </c>
      <c r="C34" s="91">
        <f t="shared" si="10"/>
        <v>30</v>
      </c>
      <c r="D34" s="27">
        <f t="shared" si="4"/>
        <v>99670176.424838617</v>
      </c>
      <c r="E34" s="27">
        <f t="shared" si="5"/>
        <v>13991353.537085528</v>
      </c>
      <c r="F34" s="95">
        <f t="shared" si="6"/>
        <v>581409.36247822526</v>
      </c>
      <c r="G34" s="95">
        <f t="shared" si="7"/>
        <v>14572762.899563752</v>
      </c>
      <c r="H34" s="27">
        <f t="shared" si="1"/>
        <v>616447.50473293103</v>
      </c>
      <c r="I34" s="27">
        <f t="shared" si="8"/>
        <v>14607801.041818459</v>
      </c>
      <c r="J34" s="31">
        <f>SUM(F$11:F34)</f>
        <v>36437226.268854983</v>
      </c>
      <c r="K34" s="31">
        <f>SUM(H$11:H34)</f>
        <v>36266047.89139609</v>
      </c>
      <c r="L34" s="31">
        <f t="shared" si="9"/>
        <v>-171178.37745889276</v>
      </c>
    </row>
    <row r="35" spans="1:12" x14ac:dyDescent="0.25">
      <c r="A35" s="26">
        <f t="shared" si="2"/>
        <v>25</v>
      </c>
      <c r="B35" s="66">
        <f t="shared" si="3"/>
        <v>43276</v>
      </c>
      <c r="C35" s="91">
        <f t="shared" si="10"/>
        <v>31</v>
      </c>
      <c r="D35" s="27">
        <f t="shared" si="4"/>
        <v>85678822.887753084</v>
      </c>
      <c r="E35" s="27">
        <f t="shared" si="5"/>
        <v>14072969.766051859</v>
      </c>
      <c r="F35" s="95">
        <f t="shared" si="6"/>
        <v>516452.90462895611</v>
      </c>
      <c r="G35" s="95">
        <f t="shared" si="7"/>
        <v>14589422.670680815</v>
      </c>
      <c r="H35" s="27">
        <f t="shared" si="1"/>
        <v>534831.27576659992</v>
      </c>
      <c r="I35" s="27">
        <f t="shared" si="8"/>
        <v>14607801.041818459</v>
      </c>
      <c r="J35" s="31">
        <f>SUM(F$11:F35)</f>
        <v>36953679.173483938</v>
      </c>
      <c r="K35" s="31">
        <f>SUM(H$11:H35)</f>
        <v>36800879.167162687</v>
      </c>
      <c r="L35" s="31">
        <f t="shared" si="9"/>
        <v>-152800.00632125139</v>
      </c>
    </row>
    <row r="36" spans="1:12" x14ac:dyDescent="0.25">
      <c r="A36" s="26">
        <f t="shared" si="2"/>
        <v>26</v>
      </c>
      <c r="B36" s="66">
        <f t="shared" si="3"/>
        <v>43306</v>
      </c>
      <c r="C36" s="91">
        <f t="shared" si="10"/>
        <v>30</v>
      </c>
      <c r="D36" s="27">
        <f t="shared" si="4"/>
        <v>71605853.121701226</v>
      </c>
      <c r="E36" s="27">
        <f t="shared" si="5"/>
        <v>14155062.089687161</v>
      </c>
      <c r="F36" s="95">
        <f t="shared" si="6"/>
        <v>417700.8098765905</v>
      </c>
      <c r="G36" s="95">
        <f t="shared" si="7"/>
        <v>14572762.899563752</v>
      </c>
      <c r="H36" s="27">
        <f t="shared" si="1"/>
        <v>452738.95213129744</v>
      </c>
      <c r="I36" s="27">
        <f t="shared" si="8"/>
        <v>14607801.041818459</v>
      </c>
      <c r="J36" s="31">
        <f>SUM(F$11:F36)</f>
        <v>37371379.983360529</v>
      </c>
      <c r="K36" s="31">
        <f>SUM(H$11:H36)</f>
        <v>37253618.119293988</v>
      </c>
      <c r="L36" s="31">
        <f t="shared" si="9"/>
        <v>-117761.86406654119</v>
      </c>
    </row>
    <row r="37" spans="1:12" x14ac:dyDescent="0.25">
      <c r="A37" s="26">
        <f t="shared" si="2"/>
        <v>27</v>
      </c>
      <c r="B37" s="66">
        <f t="shared" si="3"/>
        <v>43337</v>
      </c>
      <c r="C37" s="91">
        <f t="shared" si="10"/>
        <v>31</v>
      </c>
      <c r="D37" s="27">
        <f t="shared" si="4"/>
        <v>57450791.032014064</v>
      </c>
      <c r="E37" s="27">
        <f t="shared" si="5"/>
        <v>14237633.285210337</v>
      </c>
      <c r="F37" s="95">
        <f t="shared" si="6"/>
        <v>346300.6014985292</v>
      </c>
      <c r="G37" s="95">
        <f t="shared" si="7"/>
        <v>14583933.886708867</v>
      </c>
      <c r="H37" s="27">
        <f t="shared" si="1"/>
        <v>370167.7566081211</v>
      </c>
      <c r="I37" s="27">
        <f t="shared" si="8"/>
        <v>14607801.041818459</v>
      </c>
      <c r="J37" s="31">
        <f>SUM(F$11:F37)</f>
        <v>37717680.584859058</v>
      </c>
      <c r="K37" s="31">
        <f>SUM(H$11:H37)</f>
        <v>37623785.875902109</v>
      </c>
      <c r="L37" s="31">
        <f t="shared" si="9"/>
        <v>-93894.708956949413</v>
      </c>
    </row>
    <row r="38" spans="1:12" x14ac:dyDescent="0.25">
      <c r="A38" s="26">
        <f t="shared" si="2"/>
        <v>28</v>
      </c>
      <c r="B38" s="66">
        <f t="shared" si="3"/>
        <v>43368</v>
      </c>
      <c r="C38" s="91">
        <f t="shared" si="10"/>
        <v>31</v>
      </c>
      <c r="D38" s="27">
        <f t="shared" si="4"/>
        <v>43213157.746803731</v>
      </c>
      <c r="E38" s="27">
        <f t="shared" si="5"/>
        <v>14320686.14604073</v>
      </c>
      <c r="F38" s="95">
        <f t="shared" si="6"/>
        <v>260479.31197378915</v>
      </c>
      <c r="G38" s="95">
        <f t="shared" si="7"/>
        <v>14581165.45801452</v>
      </c>
      <c r="H38" s="27">
        <f t="shared" si="1"/>
        <v>287114.89577772841</v>
      </c>
      <c r="I38" s="27">
        <f t="shared" si="8"/>
        <v>14607801.041818459</v>
      </c>
      <c r="J38" s="31">
        <f>SUM(F$11:F38)</f>
        <v>37978159.896832846</v>
      </c>
      <c r="K38" s="31">
        <f>SUM(H$11:H38)</f>
        <v>37910900.771679834</v>
      </c>
      <c r="L38" s="31">
        <f t="shared" si="9"/>
        <v>-67259.125153012574</v>
      </c>
    </row>
    <row r="39" spans="1:12" x14ac:dyDescent="0.25">
      <c r="A39" s="26">
        <f t="shared" si="2"/>
        <v>29</v>
      </c>
      <c r="B39" s="66">
        <f t="shared" si="3"/>
        <v>43398</v>
      </c>
      <c r="C39" s="91">
        <f t="shared" si="10"/>
        <v>30</v>
      </c>
      <c r="D39" s="27">
        <f t="shared" si="4"/>
        <v>28892471.600763001</v>
      </c>
      <c r="E39" s="27">
        <f t="shared" si="5"/>
        <v>14404223.481892634</v>
      </c>
      <c r="F39" s="95">
        <f t="shared" si="6"/>
        <v>168539.41767111752</v>
      </c>
      <c r="G39" s="95">
        <f t="shared" si="7"/>
        <v>14572762.899563752</v>
      </c>
      <c r="H39" s="27">
        <f t="shared" si="1"/>
        <v>203577.5599258244</v>
      </c>
      <c r="I39" s="27">
        <f t="shared" si="8"/>
        <v>14607801.041818459</v>
      </c>
      <c r="J39" s="31">
        <f>SUM(F$11:F39)</f>
        <v>38146699.31450396</v>
      </c>
      <c r="K39" s="31">
        <f>SUM(H$11:H39)</f>
        <v>38114478.331605658</v>
      </c>
      <c r="L39" s="31">
        <f t="shared" si="9"/>
        <v>-32220.982898302376</v>
      </c>
    </row>
    <row r="40" spans="1:12" x14ac:dyDescent="0.25">
      <c r="A40" s="26">
        <f t="shared" si="2"/>
        <v>30</v>
      </c>
      <c r="B40" s="66">
        <f t="shared" si="3"/>
        <v>43429</v>
      </c>
      <c r="C40" s="91">
        <f t="shared" si="10"/>
        <v>31</v>
      </c>
      <c r="D40" s="27">
        <f t="shared" si="4"/>
        <v>14488248.118870366</v>
      </c>
      <c r="E40" s="27">
        <f t="shared" si="5"/>
        <v>14488248.118870342</v>
      </c>
      <c r="F40" s="95">
        <f t="shared" si="6"/>
        <v>87331.940049857498</v>
      </c>
      <c r="G40" s="95">
        <f t="shared" si="7"/>
        <v>14575580.058920199</v>
      </c>
      <c r="H40" s="27">
        <f t="shared" si="1"/>
        <v>119552.92294811644</v>
      </c>
      <c r="I40" s="27">
        <f t="shared" si="8"/>
        <v>14607801.041818459</v>
      </c>
      <c r="J40" s="31">
        <f>SUM(F$11:F40)</f>
        <v>38234031.254553817</v>
      </c>
      <c r="K40" s="31">
        <f>SUM(H$11:H40)</f>
        <v>38234031.254553773</v>
      </c>
      <c r="L40" s="31">
        <f t="shared" si="9"/>
        <v>0</v>
      </c>
    </row>
    <row r="41" spans="1:12" x14ac:dyDescent="0.25">
      <c r="A41" s="26" t="str">
        <f t="shared" si="2"/>
        <v/>
      </c>
      <c r="B41" s="66" t="str">
        <f t="shared" si="3"/>
        <v/>
      </c>
      <c r="C41" s="91" t="str">
        <f t="shared" si="10"/>
        <v/>
      </c>
      <c r="D41" s="27">
        <f t="shared" si="4"/>
        <v>2.4214386940002441E-8</v>
      </c>
      <c r="E41" s="27" t="str">
        <f t="shared" si="5"/>
        <v/>
      </c>
      <c r="F41" s="95" t="str">
        <f t="shared" si="6"/>
        <v/>
      </c>
      <c r="G41" s="95" t="str">
        <f t="shared" si="7"/>
        <v/>
      </c>
      <c r="H41" s="27" t="str">
        <f t="shared" si="1"/>
        <v/>
      </c>
      <c r="I41" s="27" t="str">
        <f t="shared" si="8"/>
        <v/>
      </c>
    </row>
    <row r="42" spans="1:12" x14ac:dyDescent="0.25">
      <c r="A42" s="26" t="str">
        <f t="shared" si="2"/>
        <v/>
      </c>
      <c r="B42" s="66" t="str">
        <f t="shared" si="3"/>
        <v/>
      </c>
      <c r="C42" s="91" t="str">
        <f t="shared" si="10"/>
        <v/>
      </c>
      <c r="D42" s="27" t="str">
        <f t="shared" si="4"/>
        <v/>
      </c>
      <c r="E42" s="27" t="str">
        <f t="shared" si="5"/>
        <v/>
      </c>
      <c r="F42" s="95" t="str">
        <f t="shared" si="6"/>
        <v/>
      </c>
      <c r="G42" s="95" t="str">
        <f t="shared" si="7"/>
        <v/>
      </c>
      <c r="H42" s="27" t="str">
        <f t="shared" si="1"/>
        <v/>
      </c>
      <c r="I42" s="27" t="str">
        <f t="shared" si="8"/>
        <v/>
      </c>
    </row>
    <row r="43" spans="1:12" x14ac:dyDescent="0.25">
      <c r="A43" s="26" t="str">
        <f t="shared" si="2"/>
        <v/>
      </c>
      <c r="B43" s="66" t="str">
        <f t="shared" si="3"/>
        <v/>
      </c>
      <c r="C43" s="91" t="str">
        <f t="shared" si="10"/>
        <v/>
      </c>
      <c r="D43" s="27" t="str">
        <f t="shared" si="4"/>
        <v/>
      </c>
      <c r="E43" s="27" t="str">
        <f t="shared" si="5"/>
        <v/>
      </c>
      <c r="F43" s="95" t="str">
        <f t="shared" si="6"/>
        <v/>
      </c>
      <c r="G43" s="95" t="str">
        <f t="shared" si="7"/>
        <v/>
      </c>
      <c r="H43" s="27" t="str">
        <f t="shared" ref="H43:H70" si="11">IF(A43&gt;$C$5,"",$H$9-E43)</f>
        <v/>
      </c>
      <c r="I43" s="27" t="str">
        <f t="shared" si="8"/>
        <v/>
      </c>
    </row>
    <row r="44" spans="1:12" x14ac:dyDescent="0.25">
      <c r="A44" s="26" t="str">
        <f t="shared" ref="A44:A70" si="12">IF(A43&lt;$C$5,A43+1,"")</f>
        <v/>
      </c>
      <c r="B44" s="66" t="str">
        <f t="shared" ref="B44:B70" si="13" xml:space="preserve"> IFERROR(IF($A44&gt;$C$5,"",IF(DAY(EOMONTH(B43,1))&lt;=DAY($C$8),EOMONTH(B43,1),DATE(YEAR(B43),MONTH(B43)+1,DAY($C$8)))),"No date in system")</f>
        <v/>
      </c>
      <c r="C44" s="91" t="str">
        <f t="shared" si="10"/>
        <v/>
      </c>
      <c r="D44" s="27" t="str">
        <f t="shared" ref="D44:D70" si="14">IF(A43&gt;$C$5,"",D43-E43)</f>
        <v/>
      </c>
      <c r="E44" s="27" t="str">
        <f t="shared" si="5"/>
        <v/>
      </c>
      <c r="F44" s="95" t="str">
        <f t="shared" si="6"/>
        <v/>
      </c>
      <c r="G44" s="95" t="str">
        <f t="shared" si="7"/>
        <v/>
      </c>
      <c r="H44" s="27" t="str">
        <f t="shared" si="11"/>
        <v/>
      </c>
      <c r="I44" s="27" t="str">
        <f t="shared" si="8"/>
        <v/>
      </c>
    </row>
    <row r="45" spans="1:12" x14ac:dyDescent="0.25">
      <c r="A45" s="26" t="str">
        <f t="shared" si="12"/>
        <v/>
      </c>
      <c r="B45" s="66" t="str">
        <f t="shared" si="13"/>
        <v/>
      </c>
      <c r="C45" s="91" t="str">
        <f t="shared" si="10"/>
        <v/>
      </c>
      <c r="D45" s="27" t="str">
        <f t="shared" si="14"/>
        <v/>
      </c>
      <c r="E45" s="27" t="str">
        <f t="shared" si="5"/>
        <v/>
      </c>
      <c r="F45" s="95" t="str">
        <f t="shared" si="6"/>
        <v/>
      </c>
      <c r="G45" s="95" t="str">
        <f t="shared" si="7"/>
        <v/>
      </c>
      <c r="H45" s="27" t="str">
        <f t="shared" si="11"/>
        <v/>
      </c>
      <c r="I45" s="27" t="str">
        <f t="shared" si="8"/>
        <v/>
      </c>
    </row>
    <row r="46" spans="1:12" x14ac:dyDescent="0.25">
      <c r="A46" s="26" t="str">
        <f t="shared" si="12"/>
        <v/>
      </c>
      <c r="B46" s="66" t="str">
        <f t="shared" si="13"/>
        <v/>
      </c>
      <c r="C46" s="91" t="str">
        <f t="shared" si="10"/>
        <v/>
      </c>
      <c r="D46" s="27" t="str">
        <f t="shared" si="14"/>
        <v/>
      </c>
      <c r="E46" s="27" t="str">
        <f t="shared" si="5"/>
        <v/>
      </c>
      <c r="F46" s="95" t="str">
        <f t="shared" si="6"/>
        <v/>
      </c>
      <c r="G46" s="95" t="str">
        <f t="shared" si="7"/>
        <v/>
      </c>
      <c r="H46" s="27" t="str">
        <f t="shared" si="11"/>
        <v/>
      </c>
      <c r="I46" s="27" t="str">
        <f t="shared" si="8"/>
        <v/>
      </c>
    </row>
    <row r="47" spans="1:12" x14ac:dyDescent="0.25">
      <c r="A47" s="26" t="str">
        <f t="shared" si="12"/>
        <v/>
      </c>
      <c r="B47" s="66" t="str">
        <f t="shared" si="13"/>
        <v/>
      </c>
      <c r="C47" s="91" t="str">
        <f t="shared" si="10"/>
        <v/>
      </c>
      <c r="D47" s="27" t="str">
        <f t="shared" si="14"/>
        <v/>
      </c>
      <c r="E47" s="27" t="str">
        <f t="shared" si="5"/>
        <v/>
      </c>
      <c r="F47" s="95" t="str">
        <f t="shared" si="6"/>
        <v/>
      </c>
      <c r="G47" s="95" t="str">
        <f t="shared" si="7"/>
        <v/>
      </c>
      <c r="H47" s="27" t="str">
        <f t="shared" si="11"/>
        <v/>
      </c>
      <c r="I47" s="27" t="str">
        <f t="shared" si="8"/>
        <v/>
      </c>
    </row>
    <row r="48" spans="1:12" x14ac:dyDescent="0.25">
      <c r="A48" s="26" t="str">
        <f t="shared" si="12"/>
        <v/>
      </c>
      <c r="B48" s="66" t="str">
        <f t="shared" si="13"/>
        <v/>
      </c>
      <c r="C48" s="91" t="str">
        <f t="shared" si="10"/>
        <v/>
      </c>
      <c r="D48" s="27" t="str">
        <f t="shared" si="14"/>
        <v/>
      </c>
      <c r="E48" s="27" t="str">
        <f t="shared" si="5"/>
        <v/>
      </c>
      <c r="F48" s="95" t="str">
        <f t="shared" si="6"/>
        <v/>
      </c>
      <c r="G48" s="95" t="str">
        <f t="shared" si="7"/>
        <v/>
      </c>
      <c r="H48" s="27" t="str">
        <f t="shared" si="11"/>
        <v/>
      </c>
      <c r="I48" s="27" t="str">
        <f t="shared" si="8"/>
        <v/>
      </c>
    </row>
    <row r="49" spans="1:9" x14ac:dyDescent="0.25">
      <c r="A49" s="26" t="str">
        <f t="shared" si="12"/>
        <v/>
      </c>
      <c r="B49" s="66" t="str">
        <f t="shared" si="13"/>
        <v/>
      </c>
      <c r="C49" s="91" t="str">
        <f t="shared" si="10"/>
        <v/>
      </c>
      <c r="D49" s="27" t="str">
        <f t="shared" si="14"/>
        <v/>
      </c>
      <c r="E49" s="27" t="str">
        <f t="shared" si="5"/>
        <v/>
      </c>
      <c r="F49" s="95" t="str">
        <f t="shared" si="6"/>
        <v/>
      </c>
      <c r="G49" s="95" t="str">
        <f t="shared" si="7"/>
        <v/>
      </c>
      <c r="H49" s="27" t="str">
        <f t="shared" si="11"/>
        <v/>
      </c>
      <c r="I49" s="27" t="str">
        <f t="shared" si="8"/>
        <v/>
      </c>
    </row>
    <row r="50" spans="1:9" x14ac:dyDescent="0.25">
      <c r="A50" s="26" t="str">
        <f t="shared" si="12"/>
        <v/>
      </c>
      <c r="B50" s="66" t="str">
        <f t="shared" si="13"/>
        <v/>
      </c>
      <c r="C50" s="91" t="str">
        <f t="shared" si="10"/>
        <v/>
      </c>
      <c r="D50" s="27" t="str">
        <f t="shared" si="14"/>
        <v/>
      </c>
      <c r="E50" s="27" t="str">
        <f t="shared" si="5"/>
        <v/>
      </c>
      <c r="F50" s="95" t="str">
        <f t="shared" si="6"/>
        <v/>
      </c>
      <c r="G50" s="95" t="str">
        <f t="shared" si="7"/>
        <v/>
      </c>
      <c r="H50" s="27" t="str">
        <f t="shared" si="11"/>
        <v/>
      </c>
      <c r="I50" s="27" t="str">
        <f t="shared" si="8"/>
        <v/>
      </c>
    </row>
    <row r="51" spans="1:9" x14ac:dyDescent="0.25">
      <c r="A51" s="26" t="str">
        <f t="shared" si="12"/>
        <v/>
      </c>
      <c r="B51" s="66" t="str">
        <f t="shared" si="13"/>
        <v/>
      </c>
      <c r="C51" s="91" t="str">
        <f t="shared" si="10"/>
        <v/>
      </c>
      <c r="D51" s="27" t="str">
        <f t="shared" si="14"/>
        <v/>
      </c>
      <c r="E51" s="27" t="str">
        <f t="shared" si="5"/>
        <v/>
      </c>
      <c r="F51" s="95" t="str">
        <f t="shared" si="6"/>
        <v/>
      </c>
      <c r="G51" s="95" t="str">
        <f t="shared" si="7"/>
        <v/>
      </c>
      <c r="H51" s="27" t="str">
        <f t="shared" si="11"/>
        <v/>
      </c>
      <c r="I51" s="27" t="str">
        <f t="shared" si="8"/>
        <v/>
      </c>
    </row>
    <row r="52" spans="1:9" x14ac:dyDescent="0.25">
      <c r="A52" s="26" t="str">
        <f t="shared" si="12"/>
        <v/>
      </c>
      <c r="B52" s="66" t="str">
        <f t="shared" si="13"/>
        <v/>
      </c>
      <c r="C52" s="91" t="str">
        <f t="shared" si="10"/>
        <v/>
      </c>
      <c r="D52" s="27" t="str">
        <f t="shared" si="14"/>
        <v/>
      </c>
      <c r="E52" s="27" t="str">
        <f t="shared" si="5"/>
        <v/>
      </c>
      <c r="F52" s="95" t="str">
        <f t="shared" si="6"/>
        <v/>
      </c>
      <c r="G52" s="95" t="str">
        <f t="shared" si="7"/>
        <v/>
      </c>
      <c r="H52" s="27" t="str">
        <f t="shared" si="11"/>
        <v/>
      </c>
      <c r="I52" s="27" t="str">
        <f t="shared" si="8"/>
        <v/>
      </c>
    </row>
    <row r="53" spans="1:9" x14ac:dyDescent="0.25">
      <c r="A53" s="26" t="str">
        <f t="shared" si="12"/>
        <v/>
      </c>
      <c r="B53" s="66" t="str">
        <f t="shared" si="13"/>
        <v/>
      </c>
      <c r="C53" s="91" t="str">
        <f t="shared" si="10"/>
        <v/>
      </c>
      <c r="D53" s="27" t="str">
        <f t="shared" si="14"/>
        <v/>
      </c>
      <c r="E53" s="27" t="str">
        <f t="shared" si="5"/>
        <v/>
      </c>
      <c r="F53" s="95" t="str">
        <f t="shared" si="6"/>
        <v/>
      </c>
      <c r="G53" s="95" t="str">
        <f t="shared" si="7"/>
        <v/>
      </c>
      <c r="H53" s="27" t="str">
        <f t="shared" si="11"/>
        <v/>
      </c>
      <c r="I53" s="27" t="str">
        <f t="shared" si="8"/>
        <v/>
      </c>
    </row>
    <row r="54" spans="1:9" x14ac:dyDescent="0.25">
      <c r="A54" s="26" t="str">
        <f t="shared" si="12"/>
        <v/>
      </c>
      <c r="B54" s="66" t="str">
        <f t="shared" si="13"/>
        <v/>
      </c>
      <c r="C54" s="91" t="str">
        <f t="shared" si="10"/>
        <v/>
      </c>
      <c r="D54" s="27" t="str">
        <f t="shared" si="14"/>
        <v/>
      </c>
      <c r="E54" s="27" t="str">
        <f t="shared" si="5"/>
        <v/>
      </c>
      <c r="F54" s="95" t="str">
        <f t="shared" si="6"/>
        <v/>
      </c>
      <c r="G54" s="95" t="str">
        <f t="shared" si="7"/>
        <v/>
      </c>
      <c r="H54" s="27" t="str">
        <f t="shared" si="11"/>
        <v/>
      </c>
      <c r="I54" s="27" t="str">
        <f t="shared" si="8"/>
        <v/>
      </c>
    </row>
    <row r="55" spans="1:9" x14ac:dyDescent="0.25">
      <c r="A55" s="26" t="str">
        <f t="shared" si="12"/>
        <v/>
      </c>
      <c r="B55" s="66" t="str">
        <f t="shared" si="13"/>
        <v/>
      </c>
      <c r="C55" s="91" t="str">
        <f t="shared" si="10"/>
        <v/>
      </c>
      <c r="D55" s="27" t="str">
        <f t="shared" si="14"/>
        <v/>
      </c>
      <c r="E55" s="27" t="str">
        <f t="shared" si="5"/>
        <v/>
      </c>
      <c r="F55" s="95" t="str">
        <f t="shared" si="6"/>
        <v/>
      </c>
      <c r="G55" s="95" t="str">
        <f t="shared" si="7"/>
        <v/>
      </c>
      <c r="H55" s="27" t="str">
        <f t="shared" si="11"/>
        <v/>
      </c>
      <c r="I55" s="27" t="str">
        <f t="shared" si="8"/>
        <v/>
      </c>
    </row>
    <row r="56" spans="1:9" x14ac:dyDescent="0.25">
      <c r="A56" s="26" t="str">
        <f t="shared" si="12"/>
        <v/>
      </c>
      <c r="B56" s="66" t="str">
        <f t="shared" si="13"/>
        <v/>
      </c>
      <c r="C56" s="91" t="str">
        <f t="shared" si="10"/>
        <v/>
      </c>
      <c r="D56" s="27" t="str">
        <f t="shared" si="14"/>
        <v/>
      </c>
      <c r="E56" s="27" t="str">
        <f t="shared" si="5"/>
        <v/>
      </c>
      <c r="F56" s="95" t="str">
        <f t="shared" si="6"/>
        <v/>
      </c>
      <c r="G56" s="95" t="str">
        <f t="shared" si="7"/>
        <v/>
      </c>
      <c r="H56" s="27" t="str">
        <f t="shared" si="11"/>
        <v/>
      </c>
      <c r="I56" s="27" t="str">
        <f t="shared" si="8"/>
        <v/>
      </c>
    </row>
    <row r="57" spans="1:9" x14ac:dyDescent="0.25">
      <c r="A57" s="26" t="str">
        <f t="shared" si="12"/>
        <v/>
      </c>
      <c r="B57" s="66" t="str">
        <f t="shared" si="13"/>
        <v/>
      </c>
      <c r="C57" s="91" t="str">
        <f t="shared" si="10"/>
        <v/>
      </c>
      <c r="D57" s="27" t="str">
        <f t="shared" si="14"/>
        <v/>
      </c>
      <c r="E57" s="27" t="str">
        <f t="shared" si="5"/>
        <v/>
      </c>
      <c r="F57" s="95" t="str">
        <f t="shared" si="6"/>
        <v/>
      </c>
      <c r="G57" s="95" t="str">
        <f t="shared" si="7"/>
        <v/>
      </c>
      <c r="H57" s="27" t="str">
        <f t="shared" si="11"/>
        <v/>
      </c>
      <c r="I57" s="27" t="str">
        <f t="shared" si="8"/>
        <v/>
      </c>
    </row>
    <row r="58" spans="1:9" x14ac:dyDescent="0.25">
      <c r="A58" s="26" t="str">
        <f t="shared" si="12"/>
        <v/>
      </c>
      <c r="B58" s="66" t="str">
        <f t="shared" si="13"/>
        <v/>
      </c>
      <c r="C58" s="91" t="str">
        <f t="shared" si="10"/>
        <v/>
      </c>
      <c r="D58" s="27" t="str">
        <f t="shared" si="14"/>
        <v/>
      </c>
      <c r="E58" s="27" t="str">
        <f t="shared" si="5"/>
        <v/>
      </c>
      <c r="F58" s="95" t="str">
        <f t="shared" si="6"/>
        <v/>
      </c>
      <c r="G58" s="95" t="str">
        <f t="shared" si="7"/>
        <v/>
      </c>
      <c r="H58" s="27" t="str">
        <f t="shared" si="11"/>
        <v/>
      </c>
      <c r="I58" s="27" t="str">
        <f t="shared" si="8"/>
        <v/>
      </c>
    </row>
    <row r="59" spans="1:9" x14ac:dyDescent="0.25">
      <c r="A59" s="26" t="str">
        <f t="shared" si="12"/>
        <v/>
      </c>
      <c r="B59" s="66" t="str">
        <f t="shared" si="13"/>
        <v/>
      </c>
      <c r="C59" s="91" t="str">
        <f t="shared" si="10"/>
        <v/>
      </c>
      <c r="D59" s="27" t="str">
        <f t="shared" si="14"/>
        <v/>
      </c>
      <c r="E59" s="27" t="str">
        <f t="shared" si="5"/>
        <v/>
      </c>
      <c r="F59" s="95" t="str">
        <f t="shared" si="6"/>
        <v/>
      </c>
      <c r="G59" s="95" t="str">
        <f t="shared" si="7"/>
        <v/>
      </c>
      <c r="H59" s="27" t="str">
        <f t="shared" si="11"/>
        <v/>
      </c>
      <c r="I59" s="27" t="str">
        <f t="shared" si="8"/>
        <v/>
      </c>
    </row>
    <row r="60" spans="1:9" x14ac:dyDescent="0.25">
      <c r="A60" s="26" t="str">
        <f t="shared" si="12"/>
        <v/>
      </c>
      <c r="B60" s="66" t="str">
        <f t="shared" si="13"/>
        <v/>
      </c>
      <c r="C60" s="91" t="str">
        <f t="shared" si="10"/>
        <v/>
      </c>
      <c r="D60" s="27" t="str">
        <f t="shared" si="14"/>
        <v/>
      </c>
      <c r="E60" s="27" t="str">
        <f t="shared" si="5"/>
        <v/>
      </c>
      <c r="F60" s="95" t="str">
        <f t="shared" si="6"/>
        <v/>
      </c>
      <c r="G60" s="95" t="str">
        <f t="shared" si="7"/>
        <v/>
      </c>
      <c r="H60" s="27" t="str">
        <f t="shared" si="11"/>
        <v/>
      </c>
      <c r="I60" s="27" t="str">
        <f t="shared" si="8"/>
        <v/>
      </c>
    </row>
    <row r="61" spans="1:9" x14ac:dyDescent="0.25">
      <c r="A61" s="26" t="str">
        <f t="shared" si="12"/>
        <v/>
      </c>
      <c r="B61" s="66" t="str">
        <f t="shared" si="13"/>
        <v/>
      </c>
      <c r="C61" s="91" t="str">
        <f t="shared" si="10"/>
        <v/>
      </c>
      <c r="D61" s="27" t="str">
        <f t="shared" si="14"/>
        <v/>
      </c>
      <c r="E61" s="27" t="str">
        <f t="shared" si="5"/>
        <v/>
      </c>
      <c r="F61" s="95" t="str">
        <f t="shared" si="6"/>
        <v/>
      </c>
      <c r="G61" s="95" t="str">
        <f t="shared" si="7"/>
        <v/>
      </c>
      <c r="H61" s="27" t="str">
        <f t="shared" si="11"/>
        <v/>
      </c>
      <c r="I61" s="27" t="str">
        <f t="shared" si="8"/>
        <v/>
      </c>
    </row>
    <row r="62" spans="1:9" x14ac:dyDescent="0.25">
      <c r="A62" s="26" t="str">
        <f t="shared" si="12"/>
        <v/>
      </c>
      <c r="B62" s="66" t="str">
        <f t="shared" si="13"/>
        <v/>
      </c>
      <c r="C62" s="91" t="str">
        <f t="shared" si="10"/>
        <v/>
      </c>
      <c r="D62" s="27" t="str">
        <f t="shared" si="14"/>
        <v/>
      </c>
      <c r="E62" s="27" t="str">
        <f t="shared" si="5"/>
        <v/>
      </c>
      <c r="F62" s="95" t="str">
        <f t="shared" si="6"/>
        <v/>
      </c>
      <c r="G62" s="95" t="str">
        <f t="shared" si="7"/>
        <v/>
      </c>
      <c r="H62" s="27" t="str">
        <f t="shared" si="11"/>
        <v/>
      </c>
      <c r="I62" s="27" t="str">
        <f t="shared" si="8"/>
        <v/>
      </c>
    </row>
    <row r="63" spans="1:9" x14ac:dyDescent="0.25">
      <c r="A63" s="26" t="str">
        <f t="shared" si="12"/>
        <v/>
      </c>
      <c r="B63" s="66" t="str">
        <f t="shared" si="13"/>
        <v/>
      </c>
      <c r="C63" s="91" t="str">
        <f t="shared" si="10"/>
        <v/>
      </c>
      <c r="D63" s="27" t="str">
        <f t="shared" si="14"/>
        <v/>
      </c>
      <c r="E63" s="27" t="str">
        <f t="shared" si="5"/>
        <v/>
      </c>
      <c r="F63" s="95" t="str">
        <f t="shared" si="6"/>
        <v/>
      </c>
      <c r="G63" s="95" t="str">
        <f t="shared" si="7"/>
        <v/>
      </c>
      <c r="H63" s="27" t="str">
        <f t="shared" si="11"/>
        <v/>
      </c>
      <c r="I63" s="27" t="str">
        <f t="shared" si="8"/>
        <v/>
      </c>
    </row>
    <row r="64" spans="1:9" x14ac:dyDescent="0.25">
      <c r="A64" s="26" t="str">
        <f t="shared" si="12"/>
        <v/>
      </c>
      <c r="B64" s="66" t="str">
        <f t="shared" si="13"/>
        <v/>
      </c>
      <c r="C64" s="91" t="str">
        <f t="shared" si="10"/>
        <v/>
      </c>
      <c r="D64" s="27" t="str">
        <f t="shared" si="14"/>
        <v/>
      </c>
      <c r="E64" s="27" t="str">
        <f t="shared" si="5"/>
        <v/>
      </c>
      <c r="F64" s="95" t="str">
        <f t="shared" si="6"/>
        <v/>
      </c>
      <c r="G64" s="95" t="str">
        <f t="shared" si="7"/>
        <v/>
      </c>
      <c r="H64" s="27" t="str">
        <f t="shared" si="11"/>
        <v/>
      </c>
      <c r="I64" s="27" t="str">
        <f t="shared" si="8"/>
        <v/>
      </c>
    </row>
    <row r="65" spans="1:9" x14ac:dyDescent="0.25">
      <c r="A65" s="26" t="str">
        <f t="shared" si="12"/>
        <v/>
      </c>
      <c r="B65" s="66" t="str">
        <f t="shared" si="13"/>
        <v/>
      </c>
      <c r="C65" s="91" t="str">
        <f t="shared" si="10"/>
        <v/>
      </c>
      <c r="D65" s="27" t="str">
        <f t="shared" si="14"/>
        <v/>
      </c>
      <c r="E65" s="27" t="str">
        <f t="shared" si="5"/>
        <v/>
      </c>
      <c r="F65" s="95" t="str">
        <f t="shared" si="6"/>
        <v/>
      </c>
      <c r="G65" s="95" t="str">
        <f t="shared" si="7"/>
        <v/>
      </c>
      <c r="H65" s="27" t="str">
        <f t="shared" si="11"/>
        <v/>
      </c>
      <c r="I65" s="27" t="str">
        <f t="shared" si="8"/>
        <v/>
      </c>
    </row>
    <row r="66" spans="1:9" x14ac:dyDescent="0.25">
      <c r="A66" s="26" t="str">
        <f t="shared" si="12"/>
        <v/>
      </c>
      <c r="B66" s="66" t="str">
        <f t="shared" si="13"/>
        <v/>
      </c>
      <c r="C66" s="91" t="str">
        <f t="shared" si="10"/>
        <v/>
      </c>
      <c r="D66" s="27" t="str">
        <f t="shared" si="14"/>
        <v/>
      </c>
      <c r="E66" s="27" t="str">
        <f t="shared" si="5"/>
        <v/>
      </c>
      <c r="F66" s="95" t="str">
        <f t="shared" si="6"/>
        <v/>
      </c>
      <c r="G66" s="95" t="str">
        <f t="shared" si="7"/>
        <v/>
      </c>
      <c r="H66" s="27" t="str">
        <f t="shared" si="11"/>
        <v/>
      </c>
      <c r="I66" s="27" t="str">
        <f t="shared" si="8"/>
        <v/>
      </c>
    </row>
    <row r="67" spans="1:9" x14ac:dyDescent="0.25">
      <c r="A67" s="26" t="str">
        <f t="shared" si="12"/>
        <v/>
      </c>
      <c r="B67" s="66" t="str">
        <f t="shared" si="13"/>
        <v/>
      </c>
      <c r="C67" s="91" t="str">
        <f t="shared" si="10"/>
        <v/>
      </c>
      <c r="D67" s="27" t="str">
        <f t="shared" si="14"/>
        <v/>
      </c>
      <c r="E67" s="27" t="str">
        <f t="shared" si="5"/>
        <v/>
      </c>
      <c r="F67" s="95" t="str">
        <f t="shared" si="6"/>
        <v/>
      </c>
      <c r="G67" s="95" t="str">
        <f t="shared" si="7"/>
        <v/>
      </c>
      <c r="H67" s="27" t="str">
        <f t="shared" si="11"/>
        <v/>
      </c>
      <c r="I67" s="27" t="str">
        <f t="shared" si="8"/>
        <v/>
      </c>
    </row>
    <row r="68" spans="1:9" x14ac:dyDescent="0.25">
      <c r="A68" s="26" t="str">
        <f t="shared" si="12"/>
        <v/>
      </c>
      <c r="B68" s="66" t="str">
        <f t="shared" si="13"/>
        <v/>
      </c>
      <c r="C68" s="91" t="str">
        <f t="shared" si="10"/>
        <v/>
      </c>
      <c r="D68" s="27" t="str">
        <f t="shared" si="14"/>
        <v/>
      </c>
      <c r="E68" s="27" t="str">
        <f t="shared" si="5"/>
        <v/>
      </c>
      <c r="F68" s="95" t="str">
        <f t="shared" si="6"/>
        <v/>
      </c>
      <c r="G68" s="95" t="str">
        <f t="shared" si="7"/>
        <v/>
      </c>
      <c r="H68" s="27" t="str">
        <f t="shared" si="11"/>
        <v/>
      </c>
      <c r="I68" s="27" t="str">
        <f t="shared" si="8"/>
        <v/>
      </c>
    </row>
    <row r="69" spans="1:9" x14ac:dyDescent="0.25">
      <c r="A69" s="26" t="str">
        <f t="shared" si="12"/>
        <v/>
      </c>
      <c r="B69" s="66" t="str">
        <f t="shared" si="13"/>
        <v/>
      </c>
      <c r="C69" s="91" t="str">
        <f t="shared" si="10"/>
        <v/>
      </c>
      <c r="D69" s="27" t="str">
        <f t="shared" si="14"/>
        <v/>
      </c>
      <c r="E69" s="27" t="str">
        <f t="shared" si="5"/>
        <v/>
      </c>
      <c r="F69" s="95" t="str">
        <f t="shared" si="6"/>
        <v/>
      </c>
      <c r="G69" s="95" t="str">
        <f t="shared" si="7"/>
        <v/>
      </c>
      <c r="H69" s="27" t="str">
        <f t="shared" si="11"/>
        <v/>
      </c>
      <c r="I69" s="27" t="str">
        <f t="shared" si="8"/>
        <v/>
      </c>
    </row>
    <row r="70" spans="1:9" x14ac:dyDescent="0.25">
      <c r="A70" s="26" t="str">
        <f t="shared" si="12"/>
        <v/>
      </c>
      <c r="B70" s="66" t="str">
        <f t="shared" si="13"/>
        <v/>
      </c>
      <c r="C70" s="91" t="str">
        <f t="shared" si="10"/>
        <v/>
      </c>
      <c r="D70" s="27" t="str">
        <f t="shared" si="14"/>
        <v/>
      </c>
      <c r="E70" s="27" t="str">
        <f t="shared" si="5"/>
        <v/>
      </c>
      <c r="F70" s="95" t="str">
        <f t="shared" si="6"/>
        <v/>
      </c>
      <c r="G70" s="95" t="str">
        <f t="shared" si="7"/>
        <v/>
      </c>
      <c r="H70" s="27" t="str">
        <f t="shared" si="11"/>
        <v/>
      </c>
      <c r="I70" s="27" t="str">
        <f t="shared" si="8"/>
        <v/>
      </c>
    </row>
  </sheetData>
  <protectedRanges>
    <protectedRange sqref="C6" name="Range1_2"/>
    <protectedRange sqref="C7:C8" name="Range1_1_1"/>
    <protectedRange sqref="C11" name="Range1_1_1_3_1_1_2"/>
    <protectedRange sqref="B12:B70" name="Range1_1_1_4_1_1"/>
    <protectedRange sqref="B11" name="Range1_1_1_3_1_1_1"/>
  </protectedRanges>
  <mergeCells count="2">
    <mergeCell ref="A1:I1"/>
    <mergeCell ref="A2:I2"/>
  </mergeCells>
  <pageMargins left="0.2" right="0.19" top="0.39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showGridLines="0" tabSelected="1" workbookViewId="0">
      <selection activeCell="G1" sqref="G1"/>
    </sheetView>
  </sheetViews>
  <sheetFormatPr defaultRowHeight="15" x14ac:dyDescent="0.25"/>
  <cols>
    <col min="1" max="1" width="15.28515625" style="5" customWidth="1"/>
    <col min="2" max="2" width="15.5703125" customWidth="1"/>
    <col min="3" max="3" width="14.42578125" customWidth="1"/>
    <col min="4" max="4" width="16.85546875" customWidth="1"/>
    <col min="5" max="5" width="17.28515625" customWidth="1"/>
    <col min="6" max="6" width="15" customWidth="1"/>
    <col min="7" max="7" width="12.42578125" customWidth="1"/>
    <col min="8" max="8" width="13.5703125" style="1" hidden="1" customWidth="1"/>
    <col min="9" max="9" width="16" style="1" hidden="1" customWidth="1"/>
    <col min="10" max="10" width="16.28515625" hidden="1" customWidth="1"/>
    <col min="11" max="11" width="15.5703125" hidden="1" customWidth="1"/>
  </cols>
  <sheetData>
    <row r="1" spans="1:11" ht="20.25" customHeight="1" x14ac:dyDescent="0.25">
      <c r="A1" s="118" t="s">
        <v>8</v>
      </c>
      <c r="B1" s="118"/>
      <c r="C1" s="118"/>
      <c r="D1" s="118"/>
      <c r="E1" s="118"/>
      <c r="F1" s="118"/>
      <c r="H1" s="119" t="s">
        <v>28</v>
      </c>
      <c r="I1" s="119"/>
      <c r="J1" s="119"/>
      <c r="K1" s="119"/>
    </row>
    <row r="2" spans="1:11" ht="17.25" customHeight="1" x14ac:dyDescent="0.25">
      <c r="A2" s="117" t="s">
        <v>48</v>
      </c>
      <c r="B2" s="117"/>
      <c r="C2" s="117"/>
      <c r="D2" s="117"/>
      <c r="E2" s="117"/>
      <c r="F2" s="117"/>
      <c r="H2" s="34" t="s">
        <v>24</v>
      </c>
      <c r="I2" s="34" t="s">
        <v>22</v>
      </c>
      <c r="J2" s="34" t="s">
        <v>19</v>
      </c>
      <c r="K2" s="34" t="s">
        <v>16</v>
      </c>
    </row>
    <row r="3" spans="1:11" ht="16.5" x14ac:dyDescent="0.25">
      <c r="A3" s="7"/>
      <c r="B3" s="8"/>
      <c r="C3" s="17"/>
      <c r="D3" s="21"/>
      <c r="E3" s="21"/>
      <c r="F3" s="21"/>
      <c r="G3" s="2"/>
      <c r="H3" s="38" t="s">
        <v>20</v>
      </c>
      <c r="I3" s="35">
        <f>C4-F5</f>
        <v>61915291.523265362</v>
      </c>
      <c r="J3" s="35">
        <f>(C9*F4)-I3</f>
        <v>10948522.974553406</v>
      </c>
      <c r="K3" s="35">
        <f>I3+J3</f>
        <v>72863814.497818768</v>
      </c>
    </row>
    <row r="4" spans="1:11" ht="15.75" customHeight="1" x14ac:dyDescent="0.25">
      <c r="A4" s="10" t="s">
        <v>9</v>
      </c>
      <c r="B4" s="7"/>
      <c r="C4" s="23">
        <v>400000000</v>
      </c>
      <c r="D4" s="21"/>
      <c r="E4" s="18" t="s">
        <v>17</v>
      </c>
      <c r="F4" s="29">
        <v>5</v>
      </c>
      <c r="G4" s="3"/>
      <c r="H4" s="38" t="s">
        <v>21</v>
      </c>
      <c r="I4" s="35">
        <f>F5</f>
        <v>338084708.47673464</v>
      </c>
      <c r="J4" s="35">
        <f>(F8*F6)-F5</f>
        <v>45698516.180746734</v>
      </c>
      <c r="K4" s="35">
        <f>I4+J4</f>
        <v>383783224.65748137</v>
      </c>
    </row>
    <row r="5" spans="1:11" ht="15.75" customHeight="1" x14ac:dyDescent="0.25">
      <c r="A5" s="10" t="s">
        <v>10</v>
      </c>
      <c r="B5" s="7"/>
      <c r="C5" s="24">
        <v>30</v>
      </c>
      <c r="D5" s="21"/>
      <c r="E5" s="18" t="s">
        <v>11</v>
      </c>
      <c r="F5" s="19">
        <f>$C$4+CUMPRINC($C$6/12,$C$5,$C$4,1,$F$4,0)</f>
        <v>338084708.47673464</v>
      </c>
      <c r="G5" s="3"/>
      <c r="H5" s="34" t="s">
        <v>23</v>
      </c>
      <c r="I5" s="36">
        <f t="shared" ref="I5:J5" si="0">SUM(I3:I4)</f>
        <v>400000000</v>
      </c>
      <c r="J5" s="36">
        <f t="shared" si="0"/>
        <v>56647039.15530014</v>
      </c>
      <c r="K5" s="36">
        <f>SUM(K3:K4)</f>
        <v>456647039.15530014</v>
      </c>
    </row>
    <row r="6" spans="1:11" ht="15.75" customHeight="1" x14ac:dyDescent="0.25">
      <c r="A6" s="11" t="s">
        <v>47</v>
      </c>
      <c r="B6" s="7"/>
      <c r="C6" s="33">
        <v>7.0000000000000007E-2</v>
      </c>
      <c r="D6" s="21"/>
      <c r="E6" s="10" t="s">
        <v>15</v>
      </c>
      <c r="F6" s="39">
        <f>C5-F4</f>
        <v>25</v>
      </c>
      <c r="G6" s="3"/>
      <c r="H6" s="120" t="s">
        <v>26</v>
      </c>
      <c r="I6" s="121"/>
      <c r="J6" s="122"/>
      <c r="K6" s="37">
        <f>J5/($C$4*$C$5)</f>
        <v>4.7205865962750117E-3</v>
      </c>
    </row>
    <row r="7" spans="1:11" ht="16.5" customHeight="1" x14ac:dyDescent="0.25">
      <c r="A7" s="12" t="s">
        <v>44</v>
      </c>
      <c r="B7" s="7"/>
      <c r="C7" s="92">
        <v>42546</v>
      </c>
      <c r="D7" s="21"/>
      <c r="E7" s="20" t="s">
        <v>14</v>
      </c>
      <c r="F7" s="30">
        <v>0.12</v>
      </c>
      <c r="G7" s="4"/>
      <c r="H7" s="120" t="s">
        <v>25</v>
      </c>
      <c r="I7" s="121"/>
      <c r="J7" s="122"/>
      <c r="K7" s="37">
        <f>RATE($C$5,(($C$4*$K$6*$C$5)+$C$4)/$C$5,-$C$4)</f>
        <v>8.7671561780673229E-3</v>
      </c>
    </row>
    <row r="8" spans="1:11" ht="16.5" customHeight="1" x14ac:dyDescent="0.25">
      <c r="A8" s="12" t="s">
        <v>45</v>
      </c>
      <c r="B8" s="7"/>
      <c r="C8" s="92">
        <v>42546</v>
      </c>
      <c r="D8" s="21"/>
      <c r="E8" s="11" t="s">
        <v>13</v>
      </c>
      <c r="F8" s="22">
        <f>-PMT($F$7/12,$F$6,$F$5)</f>
        <v>15351328.986299256</v>
      </c>
      <c r="H8" s="120" t="s">
        <v>27</v>
      </c>
      <c r="I8" s="121"/>
      <c r="J8" s="122"/>
      <c r="K8" s="37">
        <f>K7*12</f>
        <v>0.10520587413680788</v>
      </c>
    </row>
    <row r="9" spans="1:11" ht="16.5" x14ac:dyDescent="0.25">
      <c r="A9" s="13" t="s">
        <v>13</v>
      </c>
      <c r="B9" s="7"/>
      <c r="C9" s="14">
        <f>-PMT($C$6/12,$C$5,$C$4)</f>
        <v>14572762.899563752</v>
      </c>
      <c r="D9" s="21"/>
      <c r="E9" s="67"/>
      <c r="F9" s="9"/>
      <c r="G9" s="32"/>
    </row>
    <row r="10" spans="1:11" ht="16.5" x14ac:dyDescent="0.25">
      <c r="A10" s="13"/>
      <c r="B10" s="7"/>
      <c r="C10" s="14"/>
      <c r="D10" s="93">
        <f>SUM(D12:D71)</f>
        <v>400000000</v>
      </c>
      <c r="E10" s="93">
        <f t="shared" ref="E10:F10" si="1">SUM(E12:E71)</f>
        <v>56647039.15530026</v>
      </c>
      <c r="F10" s="93">
        <f t="shared" si="1"/>
        <v>456647039.15530038</v>
      </c>
      <c r="G10" s="32"/>
    </row>
    <row r="11" spans="1:11" x14ac:dyDescent="0.25">
      <c r="A11" s="6" t="s">
        <v>0</v>
      </c>
      <c r="B11" s="6" t="s">
        <v>1</v>
      </c>
      <c r="C11" s="6" t="s">
        <v>3</v>
      </c>
      <c r="D11" s="6" t="s">
        <v>4</v>
      </c>
      <c r="E11" s="6" t="s">
        <v>5</v>
      </c>
      <c r="F11" s="6" t="s">
        <v>6</v>
      </c>
      <c r="G11" s="32"/>
      <c r="H11" s="32"/>
    </row>
    <row r="12" spans="1:11" x14ac:dyDescent="0.25">
      <c r="A12" s="26">
        <v>1</v>
      </c>
      <c r="B12" s="65">
        <f xml:space="preserve"> IFERROR(IF(DAY(EOMONTH(C8,1))&lt;=DAY(C8),EOMONTH(C8,1),DATE(YEAR(C8),MONTH(C8),DAY(C8))),"No date in system")</f>
        <v>42546</v>
      </c>
      <c r="C12" s="27">
        <f>IF(A12&gt;$C$5,"",C4)</f>
        <v>400000000</v>
      </c>
      <c r="D12" s="27">
        <f t="shared" ref="D12:D43" si="2">IF(A12&gt;$C$5,"",IF(A12&gt;$F$4,-PPMT($F$7/12,A12-$F$4,$F$6,$F$5),-PPMT($C$6/12,A12,$C$5,$C$4)))</f>
        <v>12239429.566230416</v>
      </c>
      <c r="E12" s="27">
        <f t="shared" ref="E12:E43" si="3">IF(A12&gt;$C$5,"",F12-D12)</f>
        <v>2333333.3333333358</v>
      </c>
      <c r="F12" s="27">
        <f t="shared" ref="F12:F43" si="4">IF(A12&gt;$C$5,"",IF(A12&gt;$F$4,$F$8,$C$9))</f>
        <v>14572762.899563752</v>
      </c>
      <c r="G12" s="32"/>
      <c r="H12" s="32"/>
      <c r="I12" s="28"/>
    </row>
    <row r="13" spans="1:11" x14ac:dyDescent="0.25">
      <c r="A13" s="26">
        <f t="shared" ref="A13:A44" si="5">IF(A12&lt;$C$5,A12+1,"")</f>
        <v>2</v>
      </c>
      <c r="B13" s="66">
        <f t="shared" ref="B13:B44" si="6" xml:space="preserve"> IFERROR(IF($A13&gt;$C$5,"",IF(DAY(EOMONTH(B12,1))&lt;=DAY($C$8),EOMONTH(B12,1),DATE(YEAR(B12),MONTH(B12)+1,DAY($C$8)))),"No date in system")</f>
        <v>42576</v>
      </c>
      <c r="C13" s="27">
        <f t="shared" ref="C13:C44" si="7">IF(A13&gt;$C$5,"",C12-D12)</f>
        <v>387760570.43376958</v>
      </c>
      <c r="D13" s="27">
        <f t="shared" si="2"/>
        <v>12310826.238700096</v>
      </c>
      <c r="E13" s="27">
        <f t="shared" si="3"/>
        <v>2261936.6608636566</v>
      </c>
      <c r="F13" s="27">
        <f t="shared" si="4"/>
        <v>14572762.899563752</v>
      </c>
      <c r="G13" s="32"/>
      <c r="H13" s="32"/>
    </row>
    <row r="14" spans="1:11" x14ac:dyDescent="0.25">
      <c r="A14" s="26">
        <f t="shared" si="5"/>
        <v>3</v>
      </c>
      <c r="B14" s="66">
        <f t="shared" si="6"/>
        <v>42607</v>
      </c>
      <c r="C14" s="27">
        <f t="shared" si="7"/>
        <v>375449744.19506949</v>
      </c>
      <c r="D14" s="27">
        <f t="shared" si="2"/>
        <v>12382639.39175918</v>
      </c>
      <c r="E14" s="27">
        <f t="shared" si="3"/>
        <v>2190123.5078045726</v>
      </c>
      <c r="F14" s="27">
        <f t="shared" si="4"/>
        <v>14572762.899563752</v>
      </c>
      <c r="G14" s="32"/>
      <c r="H14" s="32"/>
    </row>
    <row r="15" spans="1:11" x14ac:dyDescent="0.25">
      <c r="A15" s="26">
        <f t="shared" si="5"/>
        <v>4</v>
      </c>
      <c r="B15" s="66">
        <f t="shared" si="6"/>
        <v>42638</v>
      </c>
      <c r="C15" s="27">
        <f t="shared" si="7"/>
        <v>363067104.80331033</v>
      </c>
      <c r="D15" s="27">
        <f t="shared" si="2"/>
        <v>12454871.454877773</v>
      </c>
      <c r="E15" s="27">
        <f t="shared" si="3"/>
        <v>2117891.4446859788</v>
      </c>
      <c r="F15" s="27">
        <f t="shared" si="4"/>
        <v>14572762.899563752</v>
      </c>
      <c r="G15" s="32"/>
      <c r="H15" s="32"/>
    </row>
    <row r="16" spans="1:11" x14ac:dyDescent="0.25">
      <c r="A16" s="26">
        <f t="shared" si="5"/>
        <v>5</v>
      </c>
      <c r="B16" s="66">
        <f t="shared" si="6"/>
        <v>42668</v>
      </c>
      <c r="C16" s="27">
        <f t="shared" si="7"/>
        <v>350612233.34843254</v>
      </c>
      <c r="D16" s="27">
        <f t="shared" si="2"/>
        <v>12527524.871697895</v>
      </c>
      <c r="E16" s="27">
        <f t="shared" si="3"/>
        <v>2045238.0278658569</v>
      </c>
      <c r="F16" s="27">
        <f t="shared" si="4"/>
        <v>14572762.899563752</v>
      </c>
      <c r="G16" s="32"/>
      <c r="H16" s="32"/>
    </row>
    <row r="17" spans="1:8" x14ac:dyDescent="0.25">
      <c r="A17" s="26">
        <f t="shared" si="5"/>
        <v>6</v>
      </c>
      <c r="B17" s="66">
        <f t="shared" si="6"/>
        <v>42699</v>
      </c>
      <c r="C17" s="27">
        <f t="shared" si="7"/>
        <v>338084708.47673464</v>
      </c>
      <c r="D17" s="27">
        <f t="shared" si="2"/>
        <v>11970481.901531909</v>
      </c>
      <c r="E17" s="27">
        <f t="shared" si="3"/>
        <v>3380847.0847673472</v>
      </c>
      <c r="F17" s="27">
        <f t="shared" si="4"/>
        <v>15351328.986299256</v>
      </c>
      <c r="G17" s="32"/>
      <c r="H17" s="32"/>
    </row>
    <row r="18" spans="1:8" x14ac:dyDescent="0.25">
      <c r="A18" s="26">
        <f t="shared" si="5"/>
        <v>7</v>
      </c>
      <c r="B18" s="66">
        <f t="shared" si="6"/>
        <v>42729</v>
      </c>
      <c r="C18" s="27">
        <f t="shared" si="7"/>
        <v>326114226.5752027</v>
      </c>
      <c r="D18" s="27">
        <f t="shared" si="2"/>
        <v>12090186.720547227</v>
      </c>
      <c r="E18" s="27">
        <f t="shared" si="3"/>
        <v>3261142.2657520287</v>
      </c>
      <c r="F18" s="27">
        <f>IF(A18&gt;$C$5,"",IF(A18&gt;$F$4,$F$8,$C$9))</f>
        <v>15351328.986299256</v>
      </c>
      <c r="G18" s="32"/>
      <c r="H18" s="32"/>
    </row>
    <row r="19" spans="1:8" x14ac:dyDescent="0.25">
      <c r="A19" s="26">
        <f t="shared" si="5"/>
        <v>8</v>
      </c>
      <c r="B19" s="66">
        <f t="shared" si="6"/>
        <v>42760</v>
      </c>
      <c r="C19" s="27">
        <f t="shared" si="7"/>
        <v>314024039.8546555</v>
      </c>
      <c r="D19" s="27">
        <f t="shared" si="2"/>
        <v>12211088.5877527</v>
      </c>
      <c r="E19" s="27">
        <f t="shared" si="3"/>
        <v>3140240.398546556</v>
      </c>
      <c r="F19" s="27">
        <f t="shared" si="4"/>
        <v>15351328.986299256</v>
      </c>
      <c r="G19" s="32"/>
      <c r="H19" s="32"/>
    </row>
    <row r="20" spans="1:8" x14ac:dyDescent="0.25">
      <c r="A20" s="26">
        <f t="shared" si="5"/>
        <v>9</v>
      </c>
      <c r="B20" s="66">
        <f t="shared" si="6"/>
        <v>42791</v>
      </c>
      <c r="C20" s="27">
        <f t="shared" si="7"/>
        <v>301812951.2669028</v>
      </c>
      <c r="D20" s="27">
        <f t="shared" si="2"/>
        <v>12333199.473630229</v>
      </c>
      <c r="E20" s="27">
        <f t="shared" si="3"/>
        <v>3018129.5126690269</v>
      </c>
      <c r="F20" s="27">
        <f t="shared" si="4"/>
        <v>15351328.986299256</v>
      </c>
      <c r="G20" s="32"/>
      <c r="H20" s="32"/>
    </row>
    <row r="21" spans="1:8" x14ac:dyDescent="0.25">
      <c r="A21" s="26">
        <f t="shared" si="5"/>
        <v>10</v>
      </c>
      <c r="B21" s="66">
        <f t="shared" si="6"/>
        <v>42819</v>
      </c>
      <c r="C21" s="27">
        <f t="shared" si="7"/>
        <v>289479751.79327255</v>
      </c>
      <c r="D21" s="27">
        <f t="shared" si="2"/>
        <v>12456531.46836653</v>
      </c>
      <c r="E21" s="27">
        <f t="shared" si="3"/>
        <v>2894797.5179327261</v>
      </c>
      <c r="F21" s="27">
        <f t="shared" si="4"/>
        <v>15351328.986299256</v>
      </c>
      <c r="G21" s="32"/>
      <c r="H21" s="32"/>
    </row>
    <row r="22" spans="1:8" x14ac:dyDescent="0.25">
      <c r="A22" s="26">
        <f t="shared" si="5"/>
        <v>11</v>
      </c>
      <c r="B22" s="66">
        <f t="shared" si="6"/>
        <v>42850</v>
      </c>
      <c r="C22" s="27">
        <f t="shared" si="7"/>
        <v>277023220.32490605</v>
      </c>
      <c r="D22" s="27">
        <f t="shared" si="2"/>
        <v>12581096.783050194</v>
      </c>
      <c r="E22" s="27">
        <f t="shared" si="3"/>
        <v>2770232.2032490615</v>
      </c>
      <c r="F22" s="27">
        <f t="shared" si="4"/>
        <v>15351328.986299256</v>
      </c>
      <c r="G22" s="32"/>
    </row>
    <row r="23" spans="1:8" x14ac:dyDescent="0.25">
      <c r="A23" s="26">
        <f t="shared" si="5"/>
        <v>12</v>
      </c>
      <c r="B23" s="66">
        <f t="shared" si="6"/>
        <v>42880</v>
      </c>
      <c r="C23" s="27">
        <f t="shared" si="7"/>
        <v>264442123.54185587</v>
      </c>
      <c r="D23" s="27">
        <f t="shared" si="2"/>
        <v>12706907.750880698</v>
      </c>
      <c r="E23" s="27">
        <f t="shared" si="3"/>
        <v>2644421.2354185581</v>
      </c>
      <c r="F23" s="27">
        <f t="shared" si="4"/>
        <v>15351328.986299256</v>
      </c>
      <c r="G23" s="32"/>
    </row>
    <row r="24" spans="1:8" x14ac:dyDescent="0.25">
      <c r="A24" s="26">
        <f t="shared" si="5"/>
        <v>13</v>
      </c>
      <c r="B24" s="66">
        <f t="shared" si="6"/>
        <v>42911</v>
      </c>
      <c r="C24" s="27">
        <f t="shared" si="7"/>
        <v>251735215.79097518</v>
      </c>
      <c r="D24" s="27">
        <f t="shared" si="2"/>
        <v>12833976.828389505</v>
      </c>
      <c r="E24" s="27">
        <f t="shared" si="3"/>
        <v>2517352.1579097509</v>
      </c>
      <c r="F24" s="27">
        <f t="shared" si="4"/>
        <v>15351328.986299256</v>
      </c>
      <c r="G24" s="32"/>
    </row>
    <row r="25" spans="1:8" x14ac:dyDescent="0.25">
      <c r="A25" s="26">
        <f t="shared" si="5"/>
        <v>14</v>
      </c>
      <c r="B25" s="66">
        <f t="shared" si="6"/>
        <v>42941</v>
      </c>
      <c r="C25" s="27">
        <f t="shared" si="7"/>
        <v>238901238.96258569</v>
      </c>
      <c r="D25" s="27">
        <f t="shared" si="2"/>
        <v>12962316.596673399</v>
      </c>
      <c r="E25" s="27">
        <f t="shared" si="3"/>
        <v>2389012.3896258567</v>
      </c>
      <c r="F25" s="27">
        <f t="shared" si="4"/>
        <v>15351328.986299256</v>
      </c>
      <c r="G25" s="32"/>
    </row>
    <row r="26" spans="1:8" x14ac:dyDescent="0.25">
      <c r="A26" s="26">
        <f t="shared" si="5"/>
        <v>15</v>
      </c>
      <c r="B26" s="66">
        <f t="shared" si="6"/>
        <v>42972</v>
      </c>
      <c r="C26" s="27">
        <f t="shared" si="7"/>
        <v>225938922.36591229</v>
      </c>
      <c r="D26" s="27">
        <f t="shared" si="2"/>
        <v>13091939.762640134</v>
      </c>
      <c r="E26" s="27">
        <f t="shared" si="3"/>
        <v>2259389.2236591224</v>
      </c>
      <c r="F26" s="27">
        <f t="shared" si="4"/>
        <v>15351328.986299256</v>
      </c>
      <c r="G26" s="32"/>
    </row>
    <row r="27" spans="1:8" x14ac:dyDescent="0.25">
      <c r="A27" s="26">
        <f t="shared" si="5"/>
        <v>16</v>
      </c>
      <c r="B27" s="66">
        <f t="shared" si="6"/>
        <v>43003</v>
      </c>
      <c r="C27" s="27">
        <f t="shared" si="7"/>
        <v>212846982.60327214</v>
      </c>
      <c r="D27" s="27">
        <f t="shared" si="2"/>
        <v>13222859.160266535</v>
      </c>
      <c r="E27" s="27">
        <f t="shared" si="3"/>
        <v>2128469.8260327205</v>
      </c>
      <c r="F27" s="27">
        <f t="shared" si="4"/>
        <v>15351328.986299256</v>
      </c>
      <c r="G27" s="32"/>
    </row>
    <row r="28" spans="1:8" x14ac:dyDescent="0.25">
      <c r="A28" s="26">
        <f t="shared" si="5"/>
        <v>17</v>
      </c>
      <c r="B28" s="66">
        <f t="shared" si="6"/>
        <v>43033</v>
      </c>
      <c r="C28" s="27">
        <f t="shared" si="7"/>
        <v>199624123.44300559</v>
      </c>
      <c r="D28" s="27">
        <f t="shared" si="2"/>
        <v>13355087.7518692</v>
      </c>
      <c r="E28" s="27">
        <f t="shared" si="3"/>
        <v>1996241.2344300561</v>
      </c>
      <c r="F28" s="27">
        <f t="shared" si="4"/>
        <v>15351328.986299256</v>
      </c>
      <c r="G28" s="32"/>
    </row>
    <row r="29" spans="1:8" x14ac:dyDescent="0.25">
      <c r="A29" s="26">
        <f t="shared" si="5"/>
        <v>18</v>
      </c>
      <c r="B29" s="66">
        <f t="shared" si="6"/>
        <v>43064</v>
      </c>
      <c r="C29" s="27">
        <f t="shared" si="7"/>
        <v>186269035.69113639</v>
      </c>
      <c r="D29" s="27">
        <f t="shared" si="2"/>
        <v>13488638.629387891</v>
      </c>
      <c r="E29" s="27">
        <f t="shared" si="3"/>
        <v>1862690.3569113649</v>
      </c>
      <c r="F29" s="27">
        <f t="shared" si="4"/>
        <v>15351328.986299256</v>
      </c>
      <c r="G29" s="32"/>
    </row>
    <row r="30" spans="1:8" x14ac:dyDescent="0.25">
      <c r="A30" s="26">
        <f t="shared" si="5"/>
        <v>19</v>
      </c>
      <c r="B30" s="66">
        <f t="shared" si="6"/>
        <v>43094</v>
      </c>
      <c r="C30" s="27">
        <f t="shared" si="7"/>
        <v>172780397.0617485</v>
      </c>
      <c r="D30" s="27">
        <f t="shared" si="2"/>
        <v>13623525.01568177</v>
      </c>
      <c r="E30" s="27">
        <f t="shared" si="3"/>
        <v>1727803.9706174862</v>
      </c>
      <c r="F30" s="27">
        <f t="shared" si="4"/>
        <v>15351328.986299256</v>
      </c>
      <c r="G30" s="32"/>
    </row>
    <row r="31" spans="1:8" x14ac:dyDescent="0.25">
      <c r="A31" s="26">
        <f t="shared" si="5"/>
        <v>20</v>
      </c>
      <c r="B31" s="66">
        <f t="shared" si="6"/>
        <v>43125</v>
      </c>
      <c r="C31" s="27">
        <f t="shared" si="7"/>
        <v>159156872.04606673</v>
      </c>
      <c r="D31" s="27">
        <f t="shared" si="2"/>
        <v>13759760.26583859</v>
      </c>
      <c r="E31" s="27">
        <f t="shared" si="3"/>
        <v>1591568.7204606663</v>
      </c>
      <c r="F31" s="27">
        <f t="shared" si="4"/>
        <v>15351328.986299256</v>
      </c>
      <c r="G31" s="32"/>
    </row>
    <row r="32" spans="1:8" x14ac:dyDescent="0.25">
      <c r="A32" s="26">
        <f t="shared" si="5"/>
        <v>21</v>
      </c>
      <c r="B32" s="66">
        <f t="shared" si="6"/>
        <v>43156</v>
      </c>
      <c r="C32" s="27">
        <f t="shared" si="7"/>
        <v>145397111.78022814</v>
      </c>
      <c r="D32" s="27">
        <f t="shared" si="2"/>
        <v>13897357.868496973</v>
      </c>
      <c r="E32" s="27">
        <f t="shared" si="3"/>
        <v>1453971.1178022828</v>
      </c>
      <c r="F32" s="27">
        <f t="shared" si="4"/>
        <v>15351328.986299256</v>
      </c>
      <c r="G32" s="32"/>
    </row>
    <row r="33" spans="1:10" x14ac:dyDescent="0.25">
      <c r="A33" s="26">
        <f t="shared" si="5"/>
        <v>22</v>
      </c>
      <c r="B33" s="66">
        <f t="shared" si="6"/>
        <v>43184</v>
      </c>
      <c r="C33" s="27">
        <f t="shared" si="7"/>
        <v>131499753.91173117</v>
      </c>
      <c r="D33" s="27">
        <f t="shared" si="2"/>
        <v>14036331.447181946</v>
      </c>
      <c r="E33" s="27">
        <f t="shared" si="3"/>
        <v>1314997.5391173102</v>
      </c>
      <c r="F33" s="27">
        <f t="shared" si="4"/>
        <v>15351328.986299256</v>
      </c>
      <c r="G33" s="32"/>
      <c r="H33" s="31">
        <f>SUM(D12:D35)</f>
        <v>311031734.00637484</v>
      </c>
      <c r="I33" s="31">
        <f>SUM(E12:E35)</f>
        <v>53507331.231129773</v>
      </c>
      <c r="J33" s="31"/>
    </row>
    <row r="34" spans="1:10" x14ac:dyDescent="0.25">
      <c r="A34" s="26">
        <f t="shared" si="5"/>
        <v>23</v>
      </c>
      <c r="B34" s="66">
        <f t="shared" si="6"/>
        <v>43215</v>
      </c>
      <c r="C34" s="27">
        <f t="shared" si="7"/>
        <v>117463422.46454923</v>
      </c>
      <c r="D34" s="27">
        <f t="shared" si="2"/>
        <v>14176694.761653762</v>
      </c>
      <c r="E34" s="27">
        <f t="shared" si="3"/>
        <v>1174634.2246454936</v>
      </c>
      <c r="F34" s="27">
        <f t="shared" si="4"/>
        <v>15351328.986299256</v>
      </c>
      <c r="G34" s="32"/>
    </row>
    <row r="35" spans="1:10" x14ac:dyDescent="0.25">
      <c r="A35" s="26">
        <f t="shared" si="5"/>
        <v>24</v>
      </c>
      <c r="B35" s="66">
        <f t="shared" si="6"/>
        <v>43245</v>
      </c>
      <c r="C35" s="27">
        <f t="shared" si="7"/>
        <v>103286727.70289546</v>
      </c>
      <c r="D35" s="27">
        <f t="shared" si="2"/>
        <v>14318461.7092703</v>
      </c>
      <c r="E35" s="27">
        <f t="shared" si="3"/>
        <v>1032867.2770289555</v>
      </c>
      <c r="F35" s="27">
        <f t="shared" si="4"/>
        <v>15351328.986299256</v>
      </c>
      <c r="G35" s="32"/>
    </row>
    <row r="36" spans="1:10" x14ac:dyDescent="0.25">
      <c r="A36" s="26">
        <f t="shared" si="5"/>
        <v>25</v>
      </c>
      <c r="B36" s="66">
        <f t="shared" si="6"/>
        <v>43276</v>
      </c>
      <c r="C36" s="27">
        <f t="shared" si="7"/>
        <v>88968265.993625164</v>
      </c>
      <c r="D36" s="27">
        <f t="shared" si="2"/>
        <v>14461646.326363003</v>
      </c>
      <c r="E36" s="27">
        <f t="shared" si="3"/>
        <v>889682.65993625298</v>
      </c>
      <c r="F36" s="27">
        <f t="shared" si="4"/>
        <v>15351328.986299256</v>
      </c>
      <c r="G36" s="32"/>
    </row>
    <row r="37" spans="1:10" x14ac:dyDescent="0.25">
      <c r="A37" s="26">
        <f t="shared" si="5"/>
        <v>26</v>
      </c>
      <c r="B37" s="66">
        <f t="shared" si="6"/>
        <v>43306</v>
      </c>
      <c r="C37" s="27">
        <f t="shared" si="7"/>
        <v>74506619.667262167</v>
      </c>
      <c r="D37" s="27">
        <f t="shared" si="2"/>
        <v>14606262.789626634</v>
      </c>
      <c r="E37" s="27">
        <f t="shared" si="3"/>
        <v>745066.19667262211</v>
      </c>
      <c r="F37" s="27">
        <f t="shared" si="4"/>
        <v>15351328.986299256</v>
      </c>
      <c r="G37" s="32"/>
    </row>
    <row r="38" spans="1:10" x14ac:dyDescent="0.25">
      <c r="A38" s="26">
        <f t="shared" si="5"/>
        <v>27</v>
      </c>
      <c r="B38" s="66">
        <f t="shared" si="6"/>
        <v>43337</v>
      </c>
      <c r="C38" s="27">
        <f t="shared" si="7"/>
        <v>59900356.877635531</v>
      </c>
      <c r="D38" s="27">
        <f t="shared" si="2"/>
        <v>14752325.417522904</v>
      </c>
      <c r="E38" s="27">
        <f t="shared" si="3"/>
        <v>599003.56877635233</v>
      </c>
      <c r="F38" s="27">
        <f t="shared" si="4"/>
        <v>15351328.986299256</v>
      </c>
      <c r="G38" s="32"/>
    </row>
    <row r="39" spans="1:10" x14ac:dyDescent="0.25">
      <c r="A39" s="26">
        <f t="shared" si="5"/>
        <v>28</v>
      </c>
      <c r="B39" s="66">
        <f t="shared" si="6"/>
        <v>43368</v>
      </c>
      <c r="C39" s="27">
        <f t="shared" si="7"/>
        <v>45148031.460112631</v>
      </c>
      <c r="D39" s="27">
        <f t="shared" si="2"/>
        <v>14899848.671698129</v>
      </c>
      <c r="E39" s="27">
        <f t="shared" si="3"/>
        <v>451480.31460112706</v>
      </c>
      <c r="F39" s="27">
        <f t="shared" si="4"/>
        <v>15351328.986299256</v>
      </c>
      <c r="G39" s="32"/>
    </row>
    <row r="40" spans="1:10" x14ac:dyDescent="0.25">
      <c r="A40" s="26">
        <f t="shared" si="5"/>
        <v>29</v>
      </c>
      <c r="B40" s="66">
        <f t="shared" si="6"/>
        <v>43398</v>
      </c>
      <c r="C40" s="27">
        <f t="shared" si="7"/>
        <v>30248182.788414501</v>
      </c>
      <c r="D40" s="27">
        <f t="shared" si="2"/>
        <v>15048847.158415111</v>
      </c>
      <c r="E40" s="27">
        <f t="shared" si="3"/>
        <v>302481.82788414508</v>
      </c>
      <c r="F40" s="27">
        <f t="shared" si="4"/>
        <v>15351328.986299256</v>
      </c>
      <c r="G40" s="32"/>
    </row>
    <row r="41" spans="1:10" x14ac:dyDescent="0.25">
      <c r="A41" s="26">
        <f t="shared" si="5"/>
        <v>30</v>
      </c>
      <c r="B41" s="66">
        <f t="shared" si="6"/>
        <v>43429</v>
      </c>
      <c r="C41" s="27">
        <f t="shared" si="7"/>
        <v>15199335.62999939</v>
      </c>
      <c r="D41" s="27">
        <f t="shared" si="2"/>
        <v>15199335.629999263</v>
      </c>
      <c r="E41" s="27">
        <f t="shared" si="3"/>
        <v>151993.35629999265</v>
      </c>
      <c r="F41" s="27">
        <f t="shared" si="4"/>
        <v>15351328.986299256</v>
      </c>
      <c r="G41" s="32"/>
    </row>
    <row r="42" spans="1:10" x14ac:dyDescent="0.25">
      <c r="A42" s="26" t="str">
        <f t="shared" si="5"/>
        <v/>
      </c>
      <c r="B42" s="66" t="str">
        <f t="shared" si="6"/>
        <v/>
      </c>
      <c r="C42" s="27" t="str">
        <f t="shared" si="7"/>
        <v/>
      </c>
      <c r="D42" s="27" t="str">
        <f t="shared" si="2"/>
        <v/>
      </c>
      <c r="E42" s="27" t="str">
        <f t="shared" si="3"/>
        <v/>
      </c>
      <c r="F42" s="27" t="str">
        <f t="shared" si="4"/>
        <v/>
      </c>
      <c r="G42" s="32"/>
    </row>
    <row r="43" spans="1:10" x14ac:dyDescent="0.25">
      <c r="A43" s="26" t="str">
        <f t="shared" si="5"/>
        <v/>
      </c>
      <c r="B43" s="66" t="str">
        <f t="shared" si="6"/>
        <v/>
      </c>
      <c r="C43" s="27" t="str">
        <f t="shared" si="7"/>
        <v/>
      </c>
      <c r="D43" s="27" t="str">
        <f t="shared" si="2"/>
        <v/>
      </c>
      <c r="E43" s="27" t="str">
        <f t="shared" si="3"/>
        <v/>
      </c>
      <c r="F43" s="27" t="str">
        <f t="shared" si="4"/>
        <v/>
      </c>
      <c r="G43" s="32"/>
    </row>
    <row r="44" spans="1:10" x14ac:dyDescent="0.25">
      <c r="A44" s="26" t="str">
        <f t="shared" si="5"/>
        <v/>
      </c>
      <c r="B44" s="66" t="str">
        <f t="shared" si="6"/>
        <v/>
      </c>
      <c r="C44" s="27" t="str">
        <f t="shared" si="7"/>
        <v/>
      </c>
      <c r="D44" s="27" t="str">
        <f t="shared" ref="D44:D71" si="8">IF(A44&gt;$C$5,"",IF(A44&gt;$F$4,-PPMT($F$7/12,A44-$F$4,$F$6,$F$5),-PPMT($C$6/12,A44,$C$5,$C$4)))</f>
        <v/>
      </c>
      <c r="E44" s="27" t="str">
        <f t="shared" ref="E44:E71" si="9">IF(A44&gt;$C$5,"",F44-D44)</f>
        <v/>
      </c>
      <c r="F44" s="27" t="str">
        <f t="shared" ref="F44:F71" si="10">IF(A44&gt;$C$5,"",IF(A44&gt;$F$4,$F$8,$C$9))</f>
        <v/>
      </c>
      <c r="G44" s="32"/>
    </row>
    <row r="45" spans="1:10" x14ac:dyDescent="0.25">
      <c r="A45" s="26" t="str">
        <f t="shared" ref="A45:A71" si="11">IF(A44&lt;$C$5,A44+1,"")</f>
        <v/>
      </c>
      <c r="B45" s="66" t="str">
        <f t="shared" ref="B45:B71" si="12" xml:space="preserve"> IFERROR(IF($A45&gt;$C$5,"",IF(DAY(EOMONTH(B44,1))&lt;=DAY($C$8),EOMONTH(B44,1),DATE(YEAR(B44),MONTH(B44)+1,DAY($C$8)))),"No date in system")</f>
        <v/>
      </c>
      <c r="C45" s="27" t="str">
        <f t="shared" ref="C45:C71" si="13">IF(A45&gt;$C$5,"",C44-D44)</f>
        <v/>
      </c>
      <c r="D45" s="27" t="str">
        <f t="shared" si="8"/>
        <v/>
      </c>
      <c r="E45" s="27" t="str">
        <f t="shared" si="9"/>
        <v/>
      </c>
      <c r="F45" s="27" t="str">
        <f t="shared" si="10"/>
        <v/>
      </c>
      <c r="G45" s="32"/>
    </row>
    <row r="46" spans="1:10" x14ac:dyDescent="0.25">
      <c r="A46" s="26" t="str">
        <f t="shared" si="11"/>
        <v/>
      </c>
      <c r="B46" s="66" t="str">
        <f t="shared" si="12"/>
        <v/>
      </c>
      <c r="C46" s="27" t="str">
        <f t="shared" si="13"/>
        <v/>
      </c>
      <c r="D46" s="27" t="str">
        <f t="shared" si="8"/>
        <v/>
      </c>
      <c r="E46" s="27" t="str">
        <f t="shared" si="9"/>
        <v/>
      </c>
      <c r="F46" s="27" t="str">
        <f t="shared" si="10"/>
        <v/>
      </c>
      <c r="G46" s="32"/>
    </row>
    <row r="47" spans="1:10" x14ac:dyDescent="0.25">
      <c r="A47" s="26" t="str">
        <f t="shared" si="11"/>
        <v/>
      </c>
      <c r="B47" s="66" t="str">
        <f t="shared" si="12"/>
        <v/>
      </c>
      <c r="C47" s="27" t="str">
        <f t="shared" si="13"/>
        <v/>
      </c>
      <c r="D47" s="27" t="str">
        <f t="shared" si="8"/>
        <v/>
      </c>
      <c r="E47" s="27" t="str">
        <f t="shared" si="9"/>
        <v/>
      </c>
      <c r="F47" s="27" t="str">
        <f t="shared" si="10"/>
        <v/>
      </c>
      <c r="G47" s="32"/>
    </row>
    <row r="48" spans="1:10" x14ac:dyDescent="0.25">
      <c r="A48" s="26" t="str">
        <f t="shared" si="11"/>
        <v/>
      </c>
      <c r="B48" s="66" t="str">
        <f t="shared" si="12"/>
        <v/>
      </c>
      <c r="C48" s="27" t="str">
        <f t="shared" si="13"/>
        <v/>
      </c>
      <c r="D48" s="27" t="str">
        <f t="shared" si="8"/>
        <v/>
      </c>
      <c r="E48" s="27" t="str">
        <f t="shared" si="9"/>
        <v/>
      </c>
      <c r="F48" s="27" t="str">
        <f t="shared" si="10"/>
        <v/>
      </c>
      <c r="G48" s="32"/>
    </row>
    <row r="49" spans="1:7" x14ac:dyDescent="0.25">
      <c r="A49" s="26" t="str">
        <f t="shared" si="11"/>
        <v/>
      </c>
      <c r="B49" s="66" t="str">
        <f t="shared" si="12"/>
        <v/>
      </c>
      <c r="C49" s="27" t="str">
        <f t="shared" si="13"/>
        <v/>
      </c>
      <c r="D49" s="27" t="str">
        <f t="shared" si="8"/>
        <v/>
      </c>
      <c r="E49" s="27" t="str">
        <f t="shared" si="9"/>
        <v/>
      </c>
      <c r="F49" s="27" t="str">
        <f t="shared" si="10"/>
        <v/>
      </c>
      <c r="G49" s="32"/>
    </row>
    <row r="50" spans="1:7" x14ac:dyDescent="0.25">
      <c r="A50" s="26" t="str">
        <f t="shared" si="11"/>
        <v/>
      </c>
      <c r="B50" s="66" t="str">
        <f t="shared" si="12"/>
        <v/>
      </c>
      <c r="C50" s="27" t="str">
        <f t="shared" si="13"/>
        <v/>
      </c>
      <c r="D50" s="27" t="str">
        <f t="shared" si="8"/>
        <v/>
      </c>
      <c r="E50" s="27" t="str">
        <f t="shared" si="9"/>
        <v/>
      </c>
      <c r="F50" s="27" t="str">
        <f t="shared" si="10"/>
        <v/>
      </c>
      <c r="G50" s="32"/>
    </row>
    <row r="51" spans="1:7" x14ac:dyDescent="0.25">
      <c r="A51" s="26" t="str">
        <f t="shared" si="11"/>
        <v/>
      </c>
      <c r="B51" s="66" t="str">
        <f t="shared" si="12"/>
        <v/>
      </c>
      <c r="C51" s="27" t="str">
        <f t="shared" si="13"/>
        <v/>
      </c>
      <c r="D51" s="27" t="str">
        <f t="shared" si="8"/>
        <v/>
      </c>
      <c r="E51" s="27" t="str">
        <f t="shared" si="9"/>
        <v/>
      </c>
      <c r="F51" s="27" t="str">
        <f t="shared" si="10"/>
        <v/>
      </c>
      <c r="G51" s="32"/>
    </row>
    <row r="52" spans="1:7" x14ac:dyDescent="0.25">
      <c r="A52" s="26" t="str">
        <f t="shared" si="11"/>
        <v/>
      </c>
      <c r="B52" s="66" t="str">
        <f t="shared" si="12"/>
        <v/>
      </c>
      <c r="C52" s="27" t="str">
        <f t="shared" si="13"/>
        <v/>
      </c>
      <c r="D52" s="27" t="str">
        <f t="shared" si="8"/>
        <v/>
      </c>
      <c r="E52" s="27" t="str">
        <f t="shared" si="9"/>
        <v/>
      </c>
      <c r="F52" s="27" t="str">
        <f t="shared" si="10"/>
        <v/>
      </c>
      <c r="G52" s="32"/>
    </row>
    <row r="53" spans="1:7" x14ac:dyDescent="0.25">
      <c r="A53" s="26" t="str">
        <f t="shared" si="11"/>
        <v/>
      </c>
      <c r="B53" s="66" t="str">
        <f t="shared" si="12"/>
        <v/>
      </c>
      <c r="C53" s="27" t="str">
        <f t="shared" si="13"/>
        <v/>
      </c>
      <c r="D53" s="27" t="str">
        <f t="shared" si="8"/>
        <v/>
      </c>
      <c r="E53" s="27" t="str">
        <f t="shared" si="9"/>
        <v/>
      </c>
      <c r="F53" s="27" t="str">
        <f t="shared" si="10"/>
        <v/>
      </c>
      <c r="G53" s="32"/>
    </row>
    <row r="54" spans="1:7" x14ac:dyDescent="0.25">
      <c r="A54" s="26" t="str">
        <f t="shared" si="11"/>
        <v/>
      </c>
      <c r="B54" s="66" t="str">
        <f t="shared" si="12"/>
        <v/>
      </c>
      <c r="C54" s="27" t="str">
        <f t="shared" si="13"/>
        <v/>
      </c>
      <c r="D54" s="27" t="str">
        <f t="shared" si="8"/>
        <v/>
      </c>
      <c r="E54" s="27" t="str">
        <f t="shared" si="9"/>
        <v/>
      </c>
      <c r="F54" s="27" t="str">
        <f t="shared" si="10"/>
        <v/>
      </c>
      <c r="G54" s="32"/>
    </row>
    <row r="55" spans="1:7" x14ac:dyDescent="0.25">
      <c r="A55" s="26" t="str">
        <f t="shared" si="11"/>
        <v/>
      </c>
      <c r="B55" s="66" t="str">
        <f t="shared" si="12"/>
        <v/>
      </c>
      <c r="C55" s="27" t="str">
        <f t="shared" si="13"/>
        <v/>
      </c>
      <c r="D55" s="27" t="str">
        <f t="shared" si="8"/>
        <v/>
      </c>
      <c r="E55" s="27" t="str">
        <f t="shared" si="9"/>
        <v/>
      </c>
      <c r="F55" s="27" t="str">
        <f t="shared" si="10"/>
        <v/>
      </c>
      <c r="G55" s="32"/>
    </row>
    <row r="56" spans="1:7" x14ac:dyDescent="0.25">
      <c r="A56" s="26" t="str">
        <f t="shared" si="11"/>
        <v/>
      </c>
      <c r="B56" s="66" t="str">
        <f t="shared" si="12"/>
        <v/>
      </c>
      <c r="C56" s="27" t="str">
        <f t="shared" si="13"/>
        <v/>
      </c>
      <c r="D56" s="27" t="str">
        <f t="shared" si="8"/>
        <v/>
      </c>
      <c r="E56" s="27" t="str">
        <f t="shared" si="9"/>
        <v/>
      </c>
      <c r="F56" s="27" t="str">
        <f t="shared" si="10"/>
        <v/>
      </c>
      <c r="G56" s="32"/>
    </row>
    <row r="57" spans="1:7" x14ac:dyDescent="0.25">
      <c r="A57" s="26" t="str">
        <f t="shared" si="11"/>
        <v/>
      </c>
      <c r="B57" s="66" t="str">
        <f t="shared" si="12"/>
        <v/>
      </c>
      <c r="C57" s="27" t="str">
        <f t="shared" si="13"/>
        <v/>
      </c>
      <c r="D57" s="27" t="str">
        <f t="shared" si="8"/>
        <v/>
      </c>
      <c r="E57" s="27" t="str">
        <f t="shared" si="9"/>
        <v/>
      </c>
      <c r="F57" s="27" t="str">
        <f t="shared" si="10"/>
        <v/>
      </c>
      <c r="G57" s="32"/>
    </row>
    <row r="58" spans="1:7" x14ac:dyDescent="0.25">
      <c r="A58" s="26" t="str">
        <f t="shared" si="11"/>
        <v/>
      </c>
      <c r="B58" s="66" t="str">
        <f t="shared" si="12"/>
        <v/>
      </c>
      <c r="C58" s="27" t="str">
        <f t="shared" si="13"/>
        <v/>
      </c>
      <c r="D58" s="27" t="str">
        <f t="shared" si="8"/>
        <v/>
      </c>
      <c r="E58" s="27" t="str">
        <f t="shared" si="9"/>
        <v/>
      </c>
      <c r="F58" s="27" t="str">
        <f t="shared" si="10"/>
        <v/>
      </c>
    </row>
    <row r="59" spans="1:7" x14ac:dyDescent="0.25">
      <c r="A59" s="26" t="str">
        <f t="shared" si="11"/>
        <v/>
      </c>
      <c r="B59" s="66" t="str">
        <f t="shared" si="12"/>
        <v/>
      </c>
      <c r="C59" s="27" t="str">
        <f t="shared" si="13"/>
        <v/>
      </c>
      <c r="D59" s="27" t="str">
        <f t="shared" si="8"/>
        <v/>
      </c>
      <c r="E59" s="27" t="str">
        <f t="shared" si="9"/>
        <v/>
      </c>
      <c r="F59" s="27" t="str">
        <f t="shared" si="10"/>
        <v/>
      </c>
    </row>
    <row r="60" spans="1:7" x14ac:dyDescent="0.25">
      <c r="A60" s="26" t="str">
        <f t="shared" si="11"/>
        <v/>
      </c>
      <c r="B60" s="66" t="str">
        <f t="shared" si="12"/>
        <v/>
      </c>
      <c r="C60" s="27" t="str">
        <f t="shared" si="13"/>
        <v/>
      </c>
      <c r="D60" s="27" t="str">
        <f t="shared" si="8"/>
        <v/>
      </c>
      <c r="E60" s="27" t="str">
        <f t="shared" si="9"/>
        <v/>
      </c>
      <c r="F60" s="27" t="str">
        <f t="shared" si="10"/>
        <v/>
      </c>
    </row>
    <row r="61" spans="1:7" x14ac:dyDescent="0.25">
      <c r="A61" s="26" t="str">
        <f t="shared" si="11"/>
        <v/>
      </c>
      <c r="B61" s="66" t="str">
        <f t="shared" si="12"/>
        <v/>
      </c>
      <c r="C61" s="27" t="str">
        <f t="shared" si="13"/>
        <v/>
      </c>
      <c r="D61" s="27" t="str">
        <f t="shared" si="8"/>
        <v/>
      </c>
      <c r="E61" s="27" t="str">
        <f t="shared" si="9"/>
        <v/>
      </c>
      <c r="F61" s="27" t="str">
        <f t="shared" si="10"/>
        <v/>
      </c>
    </row>
    <row r="62" spans="1:7" x14ac:dyDescent="0.25">
      <c r="A62" s="26" t="str">
        <f t="shared" si="11"/>
        <v/>
      </c>
      <c r="B62" s="66" t="str">
        <f t="shared" si="12"/>
        <v/>
      </c>
      <c r="C62" s="27" t="str">
        <f t="shared" si="13"/>
        <v/>
      </c>
      <c r="D62" s="27" t="str">
        <f t="shared" si="8"/>
        <v/>
      </c>
      <c r="E62" s="27" t="str">
        <f t="shared" si="9"/>
        <v/>
      </c>
      <c r="F62" s="27" t="str">
        <f t="shared" si="10"/>
        <v/>
      </c>
    </row>
    <row r="63" spans="1:7" x14ac:dyDescent="0.25">
      <c r="A63" s="26" t="str">
        <f t="shared" si="11"/>
        <v/>
      </c>
      <c r="B63" s="66" t="str">
        <f t="shared" si="12"/>
        <v/>
      </c>
      <c r="C63" s="27" t="str">
        <f t="shared" si="13"/>
        <v/>
      </c>
      <c r="D63" s="27" t="str">
        <f t="shared" si="8"/>
        <v/>
      </c>
      <c r="E63" s="27" t="str">
        <f t="shared" si="9"/>
        <v/>
      </c>
      <c r="F63" s="27" t="str">
        <f t="shared" si="10"/>
        <v/>
      </c>
    </row>
    <row r="64" spans="1:7" x14ac:dyDescent="0.25">
      <c r="A64" s="26" t="str">
        <f t="shared" si="11"/>
        <v/>
      </c>
      <c r="B64" s="66" t="str">
        <f t="shared" si="12"/>
        <v/>
      </c>
      <c r="C64" s="27" t="str">
        <f t="shared" si="13"/>
        <v/>
      </c>
      <c r="D64" s="27" t="str">
        <f t="shared" si="8"/>
        <v/>
      </c>
      <c r="E64" s="27" t="str">
        <f t="shared" si="9"/>
        <v/>
      </c>
      <c r="F64" s="27" t="str">
        <f t="shared" si="10"/>
        <v/>
      </c>
    </row>
    <row r="65" spans="1:6" x14ac:dyDescent="0.25">
      <c r="A65" s="26" t="str">
        <f t="shared" si="11"/>
        <v/>
      </c>
      <c r="B65" s="66" t="str">
        <f t="shared" si="12"/>
        <v/>
      </c>
      <c r="C65" s="27" t="str">
        <f t="shared" si="13"/>
        <v/>
      </c>
      <c r="D65" s="27" t="str">
        <f t="shared" si="8"/>
        <v/>
      </c>
      <c r="E65" s="27" t="str">
        <f t="shared" si="9"/>
        <v/>
      </c>
      <c r="F65" s="27" t="str">
        <f t="shared" si="10"/>
        <v/>
      </c>
    </row>
    <row r="66" spans="1:6" x14ac:dyDescent="0.25">
      <c r="A66" s="26" t="str">
        <f t="shared" si="11"/>
        <v/>
      </c>
      <c r="B66" s="66" t="str">
        <f t="shared" si="12"/>
        <v/>
      </c>
      <c r="C66" s="27" t="str">
        <f t="shared" si="13"/>
        <v/>
      </c>
      <c r="D66" s="27" t="str">
        <f t="shared" si="8"/>
        <v/>
      </c>
      <c r="E66" s="27" t="str">
        <f t="shared" si="9"/>
        <v/>
      </c>
      <c r="F66" s="27" t="str">
        <f t="shared" si="10"/>
        <v/>
      </c>
    </row>
    <row r="67" spans="1:6" x14ac:dyDescent="0.25">
      <c r="A67" s="26" t="str">
        <f t="shared" si="11"/>
        <v/>
      </c>
      <c r="B67" s="66" t="str">
        <f t="shared" si="12"/>
        <v/>
      </c>
      <c r="C67" s="27" t="str">
        <f t="shared" si="13"/>
        <v/>
      </c>
      <c r="D67" s="27" t="str">
        <f t="shared" si="8"/>
        <v/>
      </c>
      <c r="E67" s="27" t="str">
        <f t="shared" si="9"/>
        <v/>
      </c>
      <c r="F67" s="27" t="str">
        <f t="shared" si="10"/>
        <v/>
      </c>
    </row>
    <row r="68" spans="1:6" x14ac:dyDescent="0.25">
      <c r="A68" s="26" t="str">
        <f t="shared" si="11"/>
        <v/>
      </c>
      <c r="B68" s="66" t="str">
        <f t="shared" si="12"/>
        <v/>
      </c>
      <c r="C68" s="27" t="str">
        <f t="shared" si="13"/>
        <v/>
      </c>
      <c r="D68" s="27" t="str">
        <f t="shared" si="8"/>
        <v/>
      </c>
      <c r="E68" s="27" t="str">
        <f t="shared" si="9"/>
        <v/>
      </c>
      <c r="F68" s="27" t="str">
        <f t="shared" si="10"/>
        <v/>
      </c>
    </row>
    <row r="69" spans="1:6" x14ac:dyDescent="0.25">
      <c r="A69" s="26" t="str">
        <f t="shared" si="11"/>
        <v/>
      </c>
      <c r="B69" s="66" t="str">
        <f t="shared" si="12"/>
        <v/>
      </c>
      <c r="C69" s="27" t="str">
        <f t="shared" si="13"/>
        <v/>
      </c>
      <c r="D69" s="27" t="str">
        <f t="shared" si="8"/>
        <v/>
      </c>
      <c r="E69" s="27" t="str">
        <f t="shared" si="9"/>
        <v/>
      </c>
      <c r="F69" s="27" t="str">
        <f t="shared" si="10"/>
        <v/>
      </c>
    </row>
    <row r="70" spans="1:6" x14ac:dyDescent="0.25">
      <c r="A70" s="26" t="str">
        <f t="shared" si="11"/>
        <v/>
      </c>
      <c r="B70" s="66" t="str">
        <f t="shared" si="12"/>
        <v/>
      </c>
      <c r="C70" s="27" t="str">
        <f t="shared" si="13"/>
        <v/>
      </c>
      <c r="D70" s="27" t="str">
        <f t="shared" si="8"/>
        <v/>
      </c>
      <c r="E70" s="27" t="str">
        <f t="shared" si="9"/>
        <v/>
      </c>
      <c r="F70" s="27" t="str">
        <f t="shared" si="10"/>
        <v/>
      </c>
    </row>
    <row r="71" spans="1:6" x14ac:dyDescent="0.25">
      <c r="A71" s="26" t="str">
        <f t="shared" si="11"/>
        <v/>
      </c>
      <c r="B71" s="66" t="str">
        <f t="shared" si="12"/>
        <v/>
      </c>
      <c r="C71" s="27" t="str">
        <f t="shared" si="13"/>
        <v/>
      </c>
      <c r="D71" s="27" t="str">
        <f t="shared" si="8"/>
        <v/>
      </c>
      <c r="E71" s="27" t="str">
        <f t="shared" si="9"/>
        <v/>
      </c>
      <c r="F71" s="27" t="str">
        <f t="shared" si="10"/>
        <v/>
      </c>
    </row>
  </sheetData>
  <protectedRanges>
    <protectedRange sqref="C7:C8" name="Range1_1"/>
    <protectedRange sqref="B12" name="Range1_1_1_3_1_1_1"/>
    <protectedRange sqref="B13:B71" name="Range1_1_1_4_1_1"/>
    <protectedRange sqref="C6" name="Range1_2"/>
  </protectedRanges>
  <mergeCells count="6">
    <mergeCell ref="A1:F1"/>
    <mergeCell ref="H1:K1"/>
    <mergeCell ref="H6:J6"/>
    <mergeCell ref="H7:J7"/>
    <mergeCell ref="H8:J8"/>
    <mergeCell ref="A2:F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showGridLines="0" workbookViewId="0">
      <selection activeCell="F4" sqref="F4"/>
    </sheetView>
  </sheetViews>
  <sheetFormatPr defaultRowHeight="15" x14ac:dyDescent="0.25"/>
  <cols>
    <col min="1" max="1" width="6" style="5" customWidth="1"/>
    <col min="2" max="2" width="15.5703125" customWidth="1"/>
    <col min="3" max="3" width="14.85546875" customWidth="1"/>
    <col min="4" max="5" width="15.7109375" customWidth="1"/>
    <col min="6" max="6" width="11.85546875" customWidth="1"/>
    <col min="7" max="7" width="13.28515625" customWidth="1"/>
    <col min="9" max="9" width="12" bestFit="1" customWidth="1"/>
  </cols>
  <sheetData>
    <row r="1" spans="1:7" ht="20.25" customHeight="1" x14ac:dyDescent="0.3">
      <c r="A1" s="114" t="s">
        <v>32</v>
      </c>
      <c r="B1" s="114"/>
      <c r="C1" s="114"/>
      <c r="D1" s="114"/>
      <c r="E1" s="114"/>
      <c r="F1" s="114"/>
      <c r="G1" s="114"/>
    </row>
    <row r="2" spans="1:7" ht="15.75" customHeight="1" x14ac:dyDescent="0.25">
      <c r="A2" s="115" t="s">
        <v>35</v>
      </c>
      <c r="B2" s="115"/>
      <c r="C2" s="115"/>
      <c r="D2" s="115"/>
      <c r="E2" s="115"/>
      <c r="F2" s="115"/>
      <c r="G2" s="115"/>
    </row>
    <row r="3" spans="1:7" ht="15.75" x14ac:dyDescent="0.25">
      <c r="A3" s="88"/>
      <c r="B3" s="88"/>
      <c r="C3" s="88"/>
      <c r="D3" s="88"/>
      <c r="E3" s="88"/>
      <c r="F3" s="88"/>
      <c r="G3" s="88"/>
    </row>
    <row r="4" spans="1:7" ht="15.75" customHeight="1" x14ac:dyDescent="0.25">
      <c r="A4" s="72" t="s">
        <v>9</v>
      </c>
      <c r="B4" s="88"/>
      <c r="C4" s="23">
        <v>900000000</v>
      </c>
      <c r="D4" s="9"/>
      <c r="E4" s="79" t="s">
        <v>42</v>
      </c>
      <c r="F4" s="78">
        <v>3</v>
      </c>
      <c r="G4" s="64"/>
    </row>
    <row r="5" spans="1:7" ht="15.75" customHeight="1" x14ac:dyDescent="0.25">
      <c r="A5" s="72" t="s">
        <v>10</v>
      </c>
      <c r="B5" s="88"/>
      <c r="C5" s="24">
        <v>36</v>
      </c>
      <c r="D5" s="15"/>
      <c r="E5" s="84" t="s">
        <v>41</v>
      </c>
      <c r="F5" s="82">
        <v>7.4999999999999997E-2</v>
      </c>
      <c r="G5" s="64"/>
    </row>
    <row r="6" spans="1:7" ht="18" customHeight="1" x14ac:dyDescent="0.25">
      <c r="A6" s="47" t="s">
        <v>40</v>
      </c>
      <c r="B6" s="88"/>
      <c r="C6" s="33">
        <v>0.12</v>
      </c>
      <c r="D6" s="15"/>
      <c r="E6" s="15"/>
      <c r="F6" s="15"/>
      <c r="G6" s="64"/>
    </row>
    <row r="7" spans="1:7" ht="15.75" customHeight="1" x14ac:dyDescent="0.25">
      <c r="A7" s="73" t="s">
        <v>33</v>
      </c>
      <c r="B7" s="88"/>
      <c r="C7" s="25">
        <v>42465</v>
      </c>
      <c r="D7" s="15"/>
      <c r="E7" s="80" t="s">
        <v>26</v>
      </c>
      <c r="F7" s="83">
        <f>SUM(F11:F70)/($C$4*$C$5)</f>
        <v>3.5662615740740741E-3</v>
      </c>
      <c r="G7" s="86">
        <f>F7*12</f>
        <v>4.279513888888889E-2</v>
      </c>
    </row>
    <row r="8" spans="1:7" ht="16.5" customHeight="1" x14ac:dyDescent="0.25">
      <c r="A8" s="16"/>
      <c r="B8" s="16"/>
      <c r="C8" s="16"/>
      <c r="D8" s="15"/>
      <c r="E8" s="81" t="s">
        <v>25</v>
      </c>
      <c r="F8" s="83">
        <f>RATE($C$5,(($C$4*$F$7*$C$5)+$C$4)/$C$5,-$C$4)</f>
        <v>6.6805278478580749E-3</v>
      </c>
      <c r="G8" s="86">
        <f>F8*12</f>
        <v>8.0166334174296902E-2</v>
      </c>
    </row>
    <row r="9" spans="1:7" ht="16.5" customHeight="1" x14ac:dyDescent="0.25">
      <c r="A9" s="16"/>
      <c r="B9" s="86"/>
      <c r="C9" s="86"/>
      <c r="D9" s="86"/>
      <c r="E9" s="86"/>
      <c r="F9" s="86"/>
      <c r="G9" s="86"/>
    </row>
    <row r="10" spans="1:7" x14ac:dyDescent="0.25">
      <c r="A10" s="6" t="s">
        <v>0</v>
      </c>
      <c r="B10" s="6" t="s">
        <v>1</v>
      </c>
      <c r="C10" s="57" t="s">
        <v>2</v>
      </c>
      <c r="D10" s="6" t="s">
        <v>3</v>
      </c>
      <c r="E10" s="6" t="s">
        <v>4</v>
      </c>
      <c r="F10" s="6" t="s">
        <v>5</v>
      </c>
      <c r="G10" s="6" t="s">
        <v>6</v>
      </c>
    </row>
    <row r="11" spans="1:7" x14ac:dyDescent="0.25">
      <c r="A11" s="26">
        <v>1</v>
      </c>
      <c r="B11" s="59">
        <f xml:space="preserve"> IFERROR(IF(DAY(EOMONTH(C7,1))&lt;=DAY(C7),EOMONTH(C7,1),DATE(YEAR(C7),MONTH(C7)+1,DAY(C7))),"No date in system")</f>
        <v>42495</v>
      </c>
      <c r="C11" s="90">
        <f>B11-C7</f>
        <v>30</v>
      </c>
      <c r="D11" s="27">
        <f>IF(A11&gt;$C$5,"",C4)</f>
        <v>900000000</v>
      </c>
      <c r="E11" s="27">
        <f t="shared" ref="E11:E42" si="0">IF(A11&gt;$C$5,"",$C$4/$C$5)</f>
        <v>25000000</v>
      </c>
      <c r="F11" s="27">
        <f t="shared" ref="F11:F16" si="1">IF(A11&gt;$C$5,"",IF(A11&gt;$F$4,D11*($F$5/360*C11),D11*($C$6/360*C11)))</f>
        <v>9000000</v>
      </c>
      <c r="G11" s="27">
        <f t="shared" ref="G11:G42" si="2">IF(A11&gt;$C$5,"",E11+F11)</f>
        <v>34000000</v>
      </c>
    </row>
    <row r="12" spans="1:7" x14ac:dyDescent="0.25">
      <c r="A12" s="26">
        <f t="shared" ref="A12:A43" si="3">IF(A11&lt;$C$5,A11+1,"")</f>
        <v>2</v>
      </c>
      <c r="B12" s="59">
        <f xml:space="preserve"> IFERROR(IF(A12&gt;$C$5,"",IF(DAY(EOMONTH(B11,1))&lt;=DAY($C$7),EOMONTH(B11,1),DATE(YEAR(B11),MONTH(B11)+1,DAY($C$7)))),"No date in system")</f>
        <v>42526</v>
      </c>
      <c r="C12" s="90">
        <f>IF(A12&gt;$C$5,"",B12-B11)</f>
        <v>31</v>
      </c>
      <c r="D12" s="27">
        <f t="shared" ref="D12:D43" si="4">IF(A12&gt;$C$5,"",D11-E11)</f>
        <v>875000000</v>
      </c>
      <c r="E12" s="27">
        <f t="shared" si="0"/>
        <v>25000000</v>
      </c>
      <c r="F12" s="27">
        <f t="shared" si="1"/>
        <v>9041666.666666666</v>
      </c>
      <c r="G12" s="27">
        <f t="shared" si="2"/>
        <v>34041666.666666664</v>
      </c>
    </row>
    <row r="13" spans="1:7" x14ac:dyDescent="0.25">
      <c r="A13" s="26">
        <f t="shared" si="3"/>
        <v>3</v>
      </c>
      <c r="B13" s="59">
        <f t="shared" ref="B13:B70" si="5" xml:space="preserve"> IFERROR(IF(A13&gt;$C$5,"",IF(DAY(EOMONTH(B12,1))&lt;=DAY($C$7),EOMONTH(B12,1),DATE(YEAR(B12),MONTH(B12)+1,DAY($C$7)))),"No date in system")</f>
        <v>42556</v>
      </c>
      <c r="C13" s="90">
        <f t="shared" ref="C13:C70" si="6">IF(A13&gt;$C$5,"",B13-B12)</f>
        <v>30</v>
      </c>
      <c r="D13" s="27">
        <f t="shared" si="4"/>
        <v>850000000</v>
      </c>
      <c r="E13" s="27">
        <f t="shared" si="0"/>
        <v>25000000</v>
      </c>
      <c r="F13" s="27">
        <f t="shared" si="1"/>
        <v>8500000</v>
      </c>
      <c r="G13" s="27">
        <f t="shared" si="2"/>
        <v>33500000</v>
      </c>
    </row>
    <row r="14" spans="1:7" x14ac:dyDescent="0.25">
      <c r="A14" s="26">
        <f t="shared" si="3"/>
        <v>4</v>
      </c>
      <c r="B14" s="59">
        <f t="shared" si="5"/>
        <v>42587</v>
      </c>
      <c r="C14" s="90">
        <f t="shared" si="6"/>
        <v>31</v>
      </c>
      <c r="D14" s="27">
        <f t="shared" si="4"/>
        <v>825000000</v>
      </c>
      <c r="E14" s="27">
        <f t="shared" si="0"/>
        <v>25000000</v>
      </c>
      <c r="F14" s="27">
        <f t="shared" si="1"/>
        <v>5328125</v>
      </c>
      <c r="G14" s="27">
        <f t="shared" si="2"/>
        <v>30328125</v>
      </c>
    </row>
    <row r="15" spans="1:7" x14ac:dyDescent="0.25">
      <c r="A15" s="26">
        <f t="shared" si="3"/>
        <v>5</v>
      </c>
      <c r="B15" s="59">
        <f t="shared" si="5"/>
        <v>42618</v>
      </c>
      <c r="C15" s="90">
        <f t="shared" si="6"/>
        <v>31</v>
      </c>
      <c r="D15" s="27">
        <f t="shared" si="4"/>
        <v>800000000</v>
      </c>
      <c r="E15" s="27">
        <f t="shared" si="0"/>
        <v>25000000</v>
      </c>
      <c r="F15" s="27">
        <f t="shared" si="1"/>
        <v>5166666.666666667</v>
      </c>
      <c r="G15" s="27">
        <f t="shared" si="2"/>
        <v>30166666.666666668</v>
      </c>
    </row>
    <row r="16" spans="1:7" x14ac:dyDescent="0.25">
      <c r="A16" s="26">
        <f t="shared" si="3"/>
        <v>6</v>
      </c>
      <c r="B16" s="59">
        <f t="shared" si="5"/>
        <v>42648</v>
      </c>
      <c r="C16" s="90">
        <f t="shared" si="6"/>
        <v>30</v>
      </c>
      <c r="D16" s="27">
        <f t="shared" si="4"/>
        <v>775000000</v>
      </c>
      <c r="E16" s="27">
        <f t="shared" si="0"/>
        <v>25000000</v>
      </c>
      <c r="F16" s="27">
        <f t="shared" si="1"/>
        <v>4843750</v>
      </c>
      <c r="G16" s="27">
        <f t="shared" si="2"/>
        <v>29843750</v>
      </c>
    </row>
    <row r="17" spans="1:7" x14ac:dyDescent="0.25">
      <c r="A17" s="26">
        <f t="shared" si="3"/>
        <v>7</v>
      </c>
      <c r="B17" s="59">
        <f t="shared" si="5"/>
        <v>42679</v>
      </c>
      <c r="C17" s="90">
        <f t="shared" si="6"/>
        <v>31</v>
      </c>
      <c r="D17" s="27">
        <f t="shared" si="4"/>
        <v>750000000</v>
      </c>
      <c r="E17" s="27">
        <f t="shared" si="0"/>
        <v>25000000</v>
      </c>
      <c r="F17" s="27">
        <f t="shared" ref="F17:F70" si="7">IF(A17&gt;$C$5,"",IF(A17&gt;$F$4,D17*$F$5/360*C17,D17*$C$6/360*C17))</f>
        <v>4843750</v>
      </c>
      <c r="G17" s="27">
        <f t="shared" si="2"/>
        <v>29843750</v>
      </c>
    </row>
    <row r="18" spans="1:7" x14ac:dyDescent="0.25">
      <c r="A18" s="26">
        <f t="shared" si="3"/>
        <v>8</v>
      </c>
      <c r="B18" s="59">
        <f t="shared" si="5"/>
        <v>42709</v>
      </c>
      <c r="C18" s="90">
        <f t="shared" si="6"/>
        <v>30</v>
      </c>
      <c r="D18" s="27">
        <f t="shared" si="4"/>
        <v>725000000</v>
      </c>
      <c r="E18" s="27">
        <f t="shared" si="0"/>
        <v>25000000</v>
      </c>
      <c r="F18" s="27">
        <f t="shared" si="7"/>
        <v>4531250</v>
      </c>
      <c r="G18" s="27">
        <f t="shared" si="2"/>
        <v>29531250</v>
      </c>
    </row>
    <row r="19" spans="1:7" x14ac:dyDescent="0.25">
      <c r="A19" s="26">
        <f t="shared" si="3"/>
        <v>9</v>
      </c>
      <c r="B19" s="59">
        <f t="shared" si="5"/>
        <v>42740</v>
      </c>
      <c r="C19" s="90">
        <f t="shared" si="6"/>
        <v>31</v>
      </c>
      <c r="D19" s="27">
        <f t="shared" si="4"/>
        <v>700000000</v>
      </c>
      <c r="E19" s="27">
        <f t="shared" si="0"/>
        <v>25000000</v>
      </c>
      <c r="F19" s="27">
        <f t="shared" si="7"/>
        <v>4520833.333333334</v>
      </c>
      <c r="G19" s="27">
        <f t="shared" si="2"/>
        <v>29520833.333333336</v>
      </c>
    </row>
    <row r="20" spans="1:7" x14ac:dyDescent="0.25">
      <c r="A20" s="26">
        <f t="shared" si="3"/>
        <v>10</v>
      </c>
      <c r="B20" s="59">
        <f t="shared" si="5"/>
        <v>42771</v>
      </c>
      <c r="C20" s="90">
        <f t="shared" si="6"/>
        <v>31</v>
      </c>
      <c r="D20" s="27">
        <f t="shared" si="4"/>
        <v>675000000</v>
      </c>
      <c r="E20" s="27">
        <f t="shared" si="0"/>
        <v>25000000</v>
      </c>
      <c r="F20" s="27">
        <f t="shared" si="7"/>
        <v>4359375</v>
      </c>
      <c r="G20" s="27">
        <f t="shared" si="2"/>
        <v>29359375</v>
      </c>
    </row>
    <row r="21" spans="1:7" x14ac:dyDescent="0.25">
      <c r="A21" s="26">
        <f t="shared" si="3"/>
        <v>11</v>
      </c>
      <c r="B21" s="59">
        <f t="shared" si="5"/>
        <v>42799</v>
      </c>
      <c r="C21" s="60">
        <f t="shared" si="6"/>
        <v>28</v>
      </c>
      <c r="D21" s="27">
        <f t="shared" si="4"/>
        <v>650000000</v>
      </c>
      <c r="E21" s="27">
        <f t="shared" si="0"/>
        <v>25000000</v>
      </c>
      <c r="F21" s="27">
        <f t="shared" si="7"/>
        <v>3791666.6666666665</v>
      </c>
      <c r="G21" s="27">
        <f t="shared" si="2"/>
        <v>28791666.666666668</v>
      </c>
    </row>
    <row r="22" spans="1:7" x14ac:dyDescent="0.25">
      <c r="A22" s="26">
        <f t="shared" si="3"/>
        <v>12</v>
      </c>
      <c r="B22" s="59">
        <f t="shared" si="5"/>
        <v>42830</v>
      </c>
      <c r="C22" s="60">
        <f t="shared" si="6"/>
        <v>31</v>
      </c>
      <c r="D22" s="27">
        <f t="shared" si="4"/>
        <v>625000000</v>
      </c>
      <c r="E22" s="27">
        <f t="shared" si="0"/>
        <v>25000000</v>
      </c>
      <c r="F22" s="27">
        <f t="shared" si="7"/>
        <v>4036458.333333333</v>
      </c>
      <c r="G22" s="27">
        <f t="shared" si="2"/>
        <v>29036458.333333332</v>
      </c>
    </row>
    <row r="23" spans="1:7" x14ac:dyDescent="0.25">
      <c r="A23" s="26">
        <f t="shared" si="3"/>
        <v>13</v>
      </c>
      <c r="B23" s="59">
        <f t="shared" si="5"/>
        <v>42860</v>
      </c>
      <c r="C23" s="60">
        <f t="shared" si="6"/>
        <v>30</v>
      </c>
      <c r="D23" s="27">
        <f t="shared" si="4"/>
        <v>600000000</v>
      </c>
      <c r="E23" s="27">
        <f t="shared" si="0"/>
        <v>25000000</v>
      </c>
      <c r="F23" s="27">
        <f t="shared" si="7"/>
        <v>3750000</v>
      </c>
      <c r="G23" s="27">
        <f t="shared" si="2"/>
        <v>28750000</v>
      </c>
    </row>
    <row r="24" spans="1:7" x14ac:dyDescent="0.25">
      <c r="A24" s="26">
        <f t="shared" si="3"/>
        <v>14</v>
      </c>
      <c r="B24" s="59">
        <f t="shared" si="5"/>
        <v>42891</v>
      </c>
      <c r="C24" s="60">
        <f t="shared" si="6"/>
        <v>31</v>
      </c>
      <c r="D24" s="27">
        <f t="shared" si="4"/>
        <v>575000000</v>
      </c>
      <c r="E24" s="27">
        <f t="shared" si="0"/>
        <v>25000000</v>
      </c>
      <c r="F24" s="27">
        <f t="shared" si="7"/>
        <v>3713541.666666667</v>
      </c>
      <c r="G24" s="27">
        <f t="shared" si="2"/>
        <v>28713541.666666668</v>
      </c>
    </row>
    <row r="25" spans="1:7" x14ac:dyDescent="0.25">
      <c r="A25" s="26">
        <f t="shared" si="3"/>
        <v>15</v>
      </c>
      <c r="B25" s="59">
        <f t="shared" si="5"/>
        <v>42921</v>
      </c>
      <c r="C25" s="60">
        <f t="shared" si="6"/>
        <v>30</v>
      </c>
      <c r="D25" s="27">
        <f t="shared" si="4"/>
        <v>550000000</v>
      </c>
      <c r="E25" s="27">
        <f t="shared" si="0"/>
        <v>25000000</v>
      </c>
      <c r="F25" s="27">
        <f t="shared" si="7"/>
        <v>3437500</v>
      </c>
      <c r="G25" s="27">
        <f t="shared" si="2"/>
        <v>28437500</v>
      </c>
    </row>
    <row r="26" spans="1:7" x14ac:dyDescent="0.25">
      <c r="A26" s="26">
        <f t="shared" si="3"/>
        <v>16</v>
      </c>
      <c r="B26" s="59">
        <f t="shared" si="5"/>
        <v>42952</v>
      </c>
      <c r="C26" s="60">
        <f t="shared" si="6"/>
        <v>31</v>
      </c>
      <c r="D26" s="27">
        <f t="shared" si="4"/>
        <v>525000000</v>
      </c>
      <c r="E26" s="27">
        <f t="shared" si="0"/>
        <v>25000000</v>
      </c>
      <c r="F26" s="27">
        <f t="shared" si="7"/>
        <v>3390625</v>
      </c>
      <c r="G26" s="27">
        <f t="shared" si="2"/>
        <v>28390625</v>
      </c>
    </row>
    <row r="27" spans="1:7" x14ac:dyDescent="0.25">
      <c r="A27" s="26">
        <f t="shared" si="3"/>
        <v>17</v>
      </c>
      <c r="B27" s="59">
        <f t="shared" si="5"/>
        <v>42983</v>
      </c>
      <c r="C27" s="60">
        <f t="shared" si="6"/>
        <v>31</v>
      </c>
      <c r="D27" s="27">
        <f t="shared" si="4"/>
        <v>500000000</v>
      </c>
      <c r="E27" s="27">
        <f t="shared" si="0"/>
        <v>25000000</v>
      </c>
      <c r="F27" s="27">
        <f t="shared" si="7"/>
        <v>3229166.666666667</v>
      </c>
      <c r="G27" s="27">
        <f t="shared" si="2"/>
        <v>28229166.666666668</v>
      </c>
    </row>
    <row r="28" spans="1:7" x14ac:dyDescent="0.25">
      <c r="A28" s="26">
        <f t="shared" si="3"/>
        <v>18</v>
      </c>
      <c r="B28" s="59">
        <f t="shared" si="5"/>
        <v>43013</v>
      </c>
      <c r="C28" s="60">
        <f t="shared" si="6"/>
        <v>30</v>
      </c>
      <c r="D28" s="27">
        <f t="shared" si="4"/>
        <v>475000000</v>
      </c>
      <c r="E28" s="27">
        <f t="shared" si="0"/>
        <v>25000000</v>
      </c>
      <c r="F28" s="27">
        <f t="shared" si="7"/>
        <v>2968750</v>
      </c>
      <c r="G28" s="27">
        <f t="shared" si="2"/>
        <v>27968750</v>
      </c>
    </row>
    <row r="29" spans="1:7" x14ac:dyDescent="0.25">
      <c r="A29" s="26">
        <f t="shared" si="3"/>
        <v>19</v>
      </c>
      <c r="B29" s="59">
        <f t="shared" si="5"/>
        <v>43044</v>
      </c>
      <c r="C29" s="60">
        <f t="shared" si="6"/>
        <v>31</v>
      </c>
      <c r="D29" s="27">
        <f t="shared" si="4"/>
        <v>450000000</v>
      </c>
      <c r="E29" s="27">
        <f t="shared" si="0"/>
        <v>25000000</v>
      </c>
      <c r="F29" s="27">
        <f t="shared" si="7"/>
        <v>2906250</v>
      </c>
      <c r="G29" s="27">
        <f t="shared" si="2"/>
        <v>27906250</v>
      </c>
    </row>
    <row r="30" spans="1:7" x14ac:dyDescent="0.25">
      <c r="A30" s="26">
        <f t="shared" si="3"/>
        <v>20</v>
      </c>
      <c r="B30" s="59">
        <f t="shared" si="5"/>
        <v>43074</v>
      </c>
      <c r="C30" s="60">
        <f t="shared" si="6"/>
        <v>30</v>
      </c>
      <c r="D30" s="27">
        <f t="shared" si="4"/>
        <v>425000000</v>
      </c>
      <c r="E30" s="27">
        <f t="shared" si="0"/>
        <v>25000000</v>
      </c>
      <c r="F30" s="27">
        <f t="shared" si="7"/>
        <v>2656250</v>
      </c>
      <c r="G30" s="27">
        <f t="shared" si="2"/>
        <v>27656250</v>
      </c>
    </row>
    <row r="31" spans="1:7" x14ac:dyDescent="0.25">
      <c r="A31" s="26">
        <f t="shared" si="3"/>
        <v>21</v>
      </c>
      <c r="B31" s="59">
        <f t="shared" si="5"/>
        <v>43105</v>
      </c>
      <c r="C31" s="60">
        <f t="shared" si="6"/>
        <v>31</v>
      </c>
      <c r="D31" s="27">
        <f t="shared" si="4"/>
        <v>400000000</v>
      </c>
      <c r="E31" s="27">
        <f t="shared" si="0"/>
        <v>25000000</v>
      </c>
      <c r="F31" s="27">
        <f t="shared" si="7"/>
        <v>2583333.333333333</v>
      </c>
      <c r="G31" s="27">
        <f t="shared" si="2"/>
        <v>27583333.333333332</v>
      </c>
    </row>
    <row r="32" spans="1:7" x14ac:dyDescent="0.25">
      <c r="A32" s="26">
        <f t="shared" si="3"/>
        <v>22</v>
      </c>
      <c r="B32" s="59">
        <f t="shared" si="5"/>
        <v>43136</v>
      </c>
      <c r="C32" s="60">
        <f t="shared" si="6"/>
        <v>31</v>
      </c>
      <c r="D32" s="27">
        <f t="shared" si="4"/>
        <v>375000000</v>
      </c>
      <c r="E32" s="27">
        <f t="shared" si="0"/>
        <v>25000000</v>
      </c>
      <c r="F32" s="27">
        <f t="shared" si="7"/>
        <v>2421875</v>
      </c>
      <c r="G32" s="27">
        <f t="shared" si="2"/>
        <v>27421875</v>
      </c>
    </row>
    <row r="33" spans="1:7" s="1" customFormat="1" x14ac:dyDescent="0.25">
      <c r="A33" s="26">
        <f t="shared" si="3"/>
        <v>23</v>
      </c>
      <c r="B33" s="59">
        <f t="shared" si="5"/>
        <v>43164</v>
      </c>
      <c r="C33" s="60">
        <f t="shared" si="6"/>
        <v>28</v>
      </c>
      <c r="D33" s="27">
        <f t="shared" si="4"/>
        <v>350000000</v>
      </c>
      <c r="E33" s="27">
        <f t="shared" si="0"/>
        <v>25000000</v>
      </c>
      <c r="F33" s="27">
        <f t="shared" si="7"/>
        <v>2041666.6666666667</v>
      </c>
      <c r="G33" s="27">
        <f t="shared" si="2"/>
        <v>27041666.666666668</v>
      </c>
    </row>
    <row r="34" spans="1:7" s="1" customFormat="1" x14ac:dyDescent="0.25">
      <c r="A34" s="26">
        <f t="shared" si="3"/>
        <v>24</v>
      </c>
      <c r="B34" s="59">
        <f t="shared" si="5"/>
        <v>43195</v>
      </c>
      <c r="C34" s="60">
        <f t="shared" si="6"/>
        <v>31</v>
      </c>
      <c r="D34" s="27">
        <f t="shared" si="4"/>
        <v>325000000</v>
      </c>
      <c r="E34" s="27">
        <f t="shared" si="0"/>
        <v>25000000</v>
      </c>
      <c r="F34" s="27">
        <f t="shared" si="7"/>
        <v>2098958.333333333</v>
      </c>
      <c r="G34" s="27">
        <f t="shared" si="2"/>
        <v>27098958.333333332</v>
      </c>
    </row>
    <row r="35" spans="1:7" s="1" customFormat="1" x14ac:dyDescent="0.25">
      <c r="A35" s="26">
        <f t="shared" si="3"/>
        <v>25</v>
      </c>
      <c r="B35" s="59">
        <f t="shared" si="5"/>
        <v>43225</v>
      </c>
      <c r="C35" s="60">
        <f t="shared" si="6"/>
        <v>30</v>
      </c>
      <c r="D35" s="27">
        <f t="shared" si="4"/>
        <v>300000000</v>
      </c>
      <c r="E35" s="27">
        <f t="shared" si="0"/>
        <v>25000000</v>
      </c>
      <c r="F35" s="27">
        <f t="shared" si="7"/>
        <v>1875000</v>
      </c>
      <c r="G35" s="27">
        <f t="shared" si="2"/>
        <v>26875000</v>
      </c>
    </row>
    <row r="36" spans="1:7" s="1" customFormat="1" x14ac:dyDescent="0.25">
      <c r="A36" s="26">
        <f t="shared" si="3"/>
        <v>26</v>
      </c>
      <c r="B36" s="59">
        <f t="shared" si="5"/>
        <v>43256</v>
      </c>
      <c r="C36" s="60">
        <f t="shared" si="6"/>
        <v>31</v>
      </c>
      <c r="D36" s="27">
        <f t="shared" si="4"/>
        <v>275000000</v>
      </c>
      <c r="E36" s="27">
        <f t="shared" si="0"/>
        <v>25000000</v>
      </c>
      <c r="F36" s="27">
        <f t="shared" si="7"/>
        <v>1776041.6666666665</v>
      </c>
      <c r="G36" s="27">
        <f t="shared" si="2"/>
        <v>26776041.666666668</v>
      </c>
    </row>
    <row r="37" spans="1:7" s="1" customFormat="1" x14ac:dyDescent="0.25">
      <c r="A37" s="26">
        <f t="shared" si="3"/>
        <v>27</v>
      </c>
      <c r="B37" s="59">
        <f t="shared" si="5"/>
        <v>43286</v>
      </c>
      <c r="C37" s="60">
        <f t="shared" si="6"/>
        <v>30</v>
      </c>
      <c r="D37" s="27">
        <f t="shared" si="4"/>
        <v>250000000</v>
      </c>
      <c r="E37" s="27">
        <f t="shared" si="0"/>
        <v>25000000</v>
      </c>
      <c r="F37" s="27">
        <f t="shared" si="7"/>
        <v>1562500</v>
      </c>
      <c r="G37" s="27">
        <f t="shared" si="2"/>
        <v>26562500</v>
      </c>
    </row>
    <row r="38" spans="1:7" s="1" customFormat="1" x14ac:dyDescent="0.25">
      <c r="A38" s="26">
        <f t="shared" si="3"/>
        <v>28</v>
      </c>
      <c r="B38" s="59">
        <f t="shared" si="5"/>
        <v>43317</v>
      </c>
      <c r="C38" s="60">
        <f t="shared" si="6"/>
        <v>31</v>
      </c>
      <c r="D38" s="27">
        <f t="shared" si="4"/>
        <v>225000000</v>
      </c>
      <c r="E38" s="27">
        <f t="shared" si="0"/>
        <v>25000000</v>
      </c>
      <c r="F38" s="27">
        <f t="shared" si="7"/>
        <v>1453125</v>
      </c>
      <c r="G38" s="27">
        <f t="shared" si="2"/>
        <v>26453125</v>
      </c>
    </row>
    <row r="39" spans="1:7" s="1" customFormat="1" x14ac:dyDescent="0.25">
      <c r="A39" s="26">
        <f t="shared" si="3"/>
        <v>29</v>
      </c>
      <c r="B39" s="59">
        <f t="shared" si="5"/>
        <v>43348</v>
      </c>
      <c r="C39" s="60">
        <f t="shared" si="6"/>
        <v>31</v>
      </c>
      <c r="D39" s="27">
        <f t="shared" si="4"/>
        <v>200000000</v>
      </c>
      <c r="E39" s="27">
        <f t="shared" si="0"/>
        <v>25000000</v>
      </c>
      <c r="F39" s="27">
        <f t="shared" si="7"/>
        <v>1291666.6666666665</v>
      </c>
      <c r="G39" s="27">
        <f t="shared" si="2"/>
        <v>26291666.666666668</v>
      </c>
    </row>
    <row r="40" spans="1:7" s="1" customFormat="1" x14ac:dyDescent="0.25">
      <c r="A40" s="26">
        <f t="shared" si="3"/>
        <v>30</v>
      </c>
      <c r="B40" s="59">
        <f t="shared" si="5"/>
        <v>43378</v>
      </c>
      <c r="C40" s="60">
        <f t="shared" si="6"/>
        <v>30</v>
      </c>
      <c r="D40" s="27">
        <f t="shared" si="4"/>
        <v>175000000</v>
      </c>
      <c r="E40" s="27">
        <f t="shared" si="0"/>
        <v>25000000</v>
      </c>
      <c r="F40" s="27">
        <f t="shared" si="7"/>
        <v>1093750</v>
      </c>
      <c r="G40" s="27">
        <f t="shared" si="2"/>
        <v>26093750</v>
      </c>
    </row>
    <row r="41" spans="1:7" s="1" customFormat="1" x14ac:dyDescent="0.25">
      <c r="A41" s="26">
        <f t="shared" si="3"/>
        <v>31</v>
      </c>
      <c r="B41" s="59">
        <f t="shared" si="5"/>
        <v>43409</v>
      </c>
      <c r="C41" s="60">
        <f t="shared" si="6"/>
        <v>31</v>
      </c>
      <c r="D41" s="27">
        <f t="shared" si="4"/>
        <v>150000000</v>
      </c>
      <c r="E41" s="27">
        <f t="shared" si="0"/>
        <v>25000000</v>
      </c>
      <c r="F41" s="27">
        <f t="shared" si="7"/>
        <v>968750</v>
      </c>
      <c r="G41" s="27">
        <f t="shared" si="2"/>
        <v>25968750</v>
      </c>
    </row>
    <row r="42" spans="1:7" s="1" customFormat="1" x14ac:dyDescent="0.25">
      <c r="A42" s="26">
        <f t="shared" si="3"/>
        <v>32</v>
      </c>
      <c r="B42" s="59">
        <f t="shared" si="5"/>
        <v>43439</v>
      </c>
      <c r="C42" s="60">
        <f t="shared" si="6"/>
        <v>30</v>
      </c>
      <c r="D42" s="27">
        <f t="shared" si="4"/>
        <v>125000000</v>
      </c>
      <c r="E42" s="27">
        <f t="shared" si="0"/>
        <v>25000000</v>
      </c>
      <c r="F42" s="27">
        <f t="shared" si="7"/>
        <v>781250</v>
      </c>
      <c r="G42" s="27">
        <f t="shared" si="2"/>
        <v>25781250</v>
      </c>
    </row>
    <row r="43" spans="1:7" s="1" customFormat="1" x14ac:dyDescent="0.25">
      <c r="A43" s="26">
        <f t="shared" si="3"/>
        <v>33</v>
      </c>
      <c r="B43" s="59">
        <f t="shared" si="5"/>
        <v>43470</v>
      </c>
      <c r="C43" s="60">
        <f t="shared" si="6"/>
        <v>31</v>
      </c>
      <c r="D43" s="27">
        <f t="shared" si="4"/>
        <v>100000000</v>
      </c>
      <c r="E43" s="27">
        <f t="shared" ref="E43:E70" si="8">IF(A43&gt;$C$5,"",$C$4/$C$5)</f>
        <v>25000000</v>
      </c>
      <c r="F43" s="27">
        <f t="shared" si="7"/>
        <v>645833.33333333326</v>
      </c>
      <c r="G43" s="27">
        <f t="shared" ref="G43:G70" si="9">IF(A43&gt;$C$5,"",E43+F43)</f>
        <v>25645833.333333332</v>
      </c>
    </row>
    <row r="44" spans="1:7" s="1" customFormat="1" x14ac:dyDescent="0.25">
      <c r="A44" s="26">
        <f t="shared" ref="A44:A70" si="10">IF(A43&lt;$C$5,A43+1,"")</f>
        <v>34</v>
      </c>
      <c r="B44" s="59">
        <f t="shared" si="5"/>
        <v>43501</v>
      </c>
      <c r="C44" s="60">
        <f t="shared" si="6"/>
        <v>31</v>
      </c>
      <c r="D44" s="27">
        <f t="shared" ref="D44:D70" si="11">IF(A44&gt;$C$5,"",D43-E43)</f>
        <v>75000000</v>
      </c>
      <c r="E44" s="27">
        <f t="shared" si="8"/>
        <v>25000000</v>
      </c>
      <c r="F44" s="27">
        <f t="shared" si="7"/>
        <v>484375</v>
      </c>
      <c r="G44" s="27">
        <f t="shared" si="9"/>
        <v>25484375</v>
      </c>
    </row>
    <row r="45" spans="1:7" s="1" customFormat="1" x14ac:dyDescent="0.25">
      <c r="A45" s="26">
        <f t="shared" si="10"/>
        <v>35</v>
      </c>
      <c r="B45" s="59">
        <f t="shared" si="5"/>
        <v>43529</v>
      </c>
      <c r="C45" s="60">
        <f t="shared" si="6"/>
        <v>28</v>
      </c>
      <c r="D45" s="27">
        <f t="shared" si="11"/>
        <v>50000000</v>
      </c>
      <c r="E45" s="27">
        <f t="shared" si="8"/>
        <v>25000000</v>
      </c>
      <c r="F45" s="27">
        <f t="shared" si="7"/>
        <v>291666.66666666663</v>
      </c>
      <c r="G45" s="27">
        <f t="shared" si="9"/>
        <v>25291666.666666668</v>
      </c>
    </row>
    <row r="46" spans="1:7" s="1" customFormat="1" x14ac:dyDescent="0.25">
      <c r="A46" s="26">
        <f t="shared" si="10"/>
        <v>36</v>
      </c>
      <c r="B46" s="59">
        <f t="shared" si="5"/>
        <v>43560</v>
      </c>
      <c r="C46" s="60">
        <f t="shared" si="6"/>
        <v>31</v>
      </c>
      <c r="D46" s="27">
        <f t="shared" si="11"/>
        <v>25000000</v>
      </c>
      <c r="E46" s="27">
        <f t="shared" si="8"/>
        <v>25000000</v>
      </c>
      <c r="F46" s="27">
        <f t="shared" si="7"/>
        <v>161458.33333333331</v>
      </c>
      <c r="G46" s="27">
        <f t="shared" si="9"/>
        <v>25161458.333333332</v>
      </c>
    </row>
    <row r="47" spans="1:7" s="1" customFormat="1" x14ac:dyDescent="0.25">
      <c r="A47" s="26" t="str">
        <f t="shared" si="10"/>
        <v/>
      </c>
      <c r="B47" s="59" t="str">
        <f t="shared" si="5"/>
        <v/>
      </c>
      <c r="C47" s="60" t="str">
        <f t="shared" si="6"/>
        <v/>
      </c>
      <c r="D47" s="27" t="str">
        <f t="shared" si="11"/>
        <v/>
      </c>
      <c r="E47" s="27" t="str">
        <f t="shared" si="8"/>
        <v/>
      </c>
      <c r="F47" s="27" t="str">
        <f t="shared" si="7"/>
        <v/>
      </c>
      <c r="G47" s="27" t="str">
        <f t="shared" si="9"/>
        <v/>
      </c>
    </row>
    <row r="48" spans="1:7" s="1" customFormat="1" x14ac:dyDescent="0.25">
      <c r="A48" s="26" t="str">
        <f t="shared" si="10"/>
        <v/>
      </c>
      <c r="B48" s="59" t="str">
        <f t="shared" si="5"/>
        <v/>
      </c>
      <c r="C48" s="60" t="str">
        <f t="shared" si="6"/>
        <v/>
      </c>
      <c r="D48" s="27" t="str">
        <f t="shared" si="11"/>
        <v/>
      </c>
      <c r="E48" s="27" t="str">
        <f t="shared" si="8"/>
        <v/>
      </c>
      <c r="F48" s="27" t="str">
        <f t="shared" si="7"/>
        <v/>
      </c>
      <c r="G48" s="27" t="str">
        <f t="shared" si="9"/>
        <v/>
      </c>
    </row>
    <row r="49" spans="1:7" s="1" customFormat="1" x14ac:dyDescent="0.25">
      <c r="A49" s="26" t="str">
        <f t="shared" si="10"/>
        <v/>
      </c>
      <c r="B49" s="59" t="str">
        <f t="shared" si="5"/>
        <v/>
      </c>
      <c r="C49" s="60" t="str">
        <f t="shared" si="6"/>
        <v/>
      </c>
      <c r="D49" s="27" t="str">
        <f t="shared" si="11"/>
        <v/>
      </c>
      <c r="E49" s="27" t="str">
        <f t="shared" si="8"/>
        <v/>
      </c>
      <c r="F49" s="27" t="str">
        <f t="shared" si="7"/>
        <v/>
      </c>
      <c r="G49" s="27" t="str">
        <f t="shared" si="9"/>
        <v/>
      </c>
    </row>
    <row r="50" spans="1:7" s="1" customFormat="1" x14ac:dyDescent="0.25">
      <c r="A50" s="26" t="str">
        <f t="shared" si="10"/>
        <v/>
      </c>
      <c r="B50" s="59" t="str">
        <f t="shared" si="5"/>
        <v/>
      </c>
      <c r="C50" s="60" t="str">
        <f t="shared" si="6"/>
        <v/>
      </c>
      <c r="D50" s="27" t="str">
        <f t="shared" si="11"/>
        <v/>
      </c>
      <c r="E50" s="27" t="str">
        <f t="shared" si="8"/>
        <v/>
      </c>
      <c r="F50" s="27" t="str">
        <f t="shared" si="7"/>
        <v/>
      </c>
      <c r="G50" s="27" t="str">
        <f t="shared" si="9"/>
        <v/>
      </c>
    </row>
    <row r="51" spans="1:7" s="1" customFormat="1" x14ac:dyDescent="0.25">
      <c r="A51" s="26" t="str">
        <f t="shared" si="10"/>
        <v/>
      </c>
      <c r="B51" s="59" t="str">
        <f t="shared" si="5"/>
        <v/>
      </c>
      <c r="C51" s="60" t="str">
        <f t="shared" si="6"/>
        <v/>
      </c>
      <c r="D51" s="27" t="str">
        <f t="shared" si="11"/>
        <v/>
      </c>
      <c r="E51" s="27" t="str">
        <f t="shared" si="8"/>
        <v/>
      </c>
      <c r="F51" s="27" t="str">
        <f t="shared" si="7"/>
        <v/>
      </c>
      <c r="G51" s="27" t="str">
        <f t="shared" si="9"/>
        <v/>
      </c>
    </row>
    <row r="52" spans="1:7" s="1" customFormat="1" x14ac:dyDescent="0.25">
      <c r="A52" s="26" t="str">
        <f t="shared" si="10"/>
        <v/>
      </c>
      <c r="B52" s="59" t="str">
        <f t="shared" si="5"/>
        <v/>
      </c>
      <c r="C52" s="60" t="str">
        <f t="shared" si="6"/>
        <v/>
      </c>
      <c r="D52" s="27" t="str">
        <f t="shared" si="11"/>
        <v/>
      </c>
      <c r="E52" s="27" t="str">
        <f t="shared" si="8"/>
        <v/>
      </c>
      <c r="F52" s="27" t="str">
        <f t="shared" si="7"/>
        <v/>
      </c>
      <c r="G52" s="27" t="str">
        <f t="shared" si="9"/>
        <v/>
      </c>
    </row>
    <row r="53" spans="1:7" s="1" customFormat="1" x14ac:dyDescent="0.25">
      <c r="A53" s="26" t="str">
        <f t="shared" si="10"/>
        <v/>
      </c>
      <c r="B53" s="59" t="str">
        <f t="shared" si="5"/>
        <v/>
      </c>
      <c r="C53" s="60" t="str">
        <f t="shared" si="6"/>
        <v/>
      </c>
      <c r="D53" s="27" t="str">
        <f t="shared" si="11"/>
        <v/>
      </c>
      <c r="E53" s="27" t="str">
        <f t="shared" si="8"/>
        <v/>
      </c>
      <c r="F53" s="27" t="str">
        <f t="shared" si="7"/>
        <v/>
      </c>
      <c r="G53" s="27" t="str">
        <f t="shared" si="9"/>
        <v/>
      </c>
    </row>
    <row r="54" spans="1:7" s="1" customFormat="1" x14ac:dyDescent="0.25">
      <c r="A54" s="26" t="str">
        <f t="shared" si="10"/>
        <v/>
      </c>
      <c r="B54" s="59" t="str">
        <f t="shared" si="5"/>
        <v/>
      </c>
      <c r="C54" s="60" t="str">
        <f t="shared" si="6"/>
        <v/>
      </c>
      <c r="D54" s="27" t="str">
        <f t="shared" si="11"/>
        <v/>
      </c>
      <c r="E54" s="27" t="str">
        <f t="shared" si="8"/>
        <v/>
      </c>
      <c r="F54" s="27" t="str">
        <f t="shared" si="7"/>
        <v/>
      </c>
      <c r="G54" s="27" t="str">
        <f t="shared" si="9"/>
        <v/>
      </c>
    </row>
    <row r="55" spans="1:7" s="1" customFormat="1" x14ac:dyDescent="0.25">
      <c r="A55" s="26" t="str">
        <f t="shared" si="10"/>
        <v/>
      </c>
      <c r="B55" s="59" t="str">
        <f t="shared" si="5"/>
        <v/>
      </c>
      <c r="C55" s="60" t="str">
        <f t="shared" si="6"/>
        <v/>
      </c>
      <c r="D55" s="27" t="str">
        <f t="shared" si="11"/>
        <v/>
      </c>
      <c r="E55" s="27" t="str">
        <f t="shared" si="8"/>
        <v/>
      </c>
      <c r="F55" s="27" t="str">
        <f t="shared" si="7"/>
        <v/>
      </c>
      <c r="G55" s="27" t="str">
        <f t="shared" si="9"/>
        <v/>
      </c>
    </row>
    <row r="56" spans="1:7" s="1" customFormat="1" x14ac:dyDescent="0.25">
      <c r="A56" s="26" t="str">
        <f t="shared" si="10"/>
        <v/>
      </c>
      <c r="B56" s="59" t="str">
        <f t="shared" si="5"/>
        <v/>
      </c>
      <c r="C56" s="60" t="str">
        <f t="shared" si="6"/>
        <v/>
      </c>
      <c r="D56" s="27" t="str">
        <f t="shared" si="11"/>
        <v/>
      </c>
      <c r="E56" s="27" t="str">
        <f t="shared" si="8"/>
        <v/>
      </c>
      <c r="F56" s="27" t="str">
        <f t="shared" si="7"/>
        <v/>
      </c>
      <c r="G56" s="27" t="str">
        <f t="shared" si="9"/>
        <v/>
      </c>
    </row>
    <row r="57" spans="1:7" s="1" customFormat="1" x14ac:dyDescent="0.25">
      <c r="A57" s="26" t="str">
        <f t="shared" si="10"/>
        <v/>
      </c>
      <c r="B57" s="59" t="str">
        <f t="shared" si="5"/>
        <v/>
      </c>
      <c r="C57" s="60" t="str">
        <f t="shared" si="6"/>
        <v/>
      </c>
      <c r="D57" s="27" t="str">
        <f t="shared" si="11"/>
        <v/>
      </c>
      <c r="E57" s="27" t="str">
        <f t="shared" si="8"/>
        <v/>
      </c>
      <c r="F57" s="27" t="str">
        <f t="shared" si="7"/>
        <v/>
      </c>
      <c r="G57" s="27" t="str">
        <f t="shared" si="9"/>
        <v/>
      </c>
    </row>
    <row r="58" spans="1:7" s="1" customFormat="1" x14ac:dyDescent="0.25">
      <c r="A58" s="26" t="str">
        <f t="shared" si="10"/>
        <v/>
      </c>
      <c r="B58" s="59" t="str">
        <f t="shared" si="5"/>
        <v/>
      </c>
      <c r="C58" s="60" t="str">
        <f t="shared" si="6"/>
        <v/>
      </c>
      <c r="D58" s="27" t="str">
        <f t="shared" si="11"/>
        <v/>
      </c>
      <c r="E58" s="27" t="str">
        <f t="shared" si="8"/>
        <v/>
      </c>
      <c r="F58" s="27" t="str">
        <f t="shared" si="7"/>
        <v/>
      </c>
      <c r="G58" s="27" t="str">
        <f t="shared" si="9"/>
        <v/>
      </c>
    </row>
    <row r="59" spans="1:7" s="1" customFormat="1" x14ac:dyDescent="0.25">
      <c r="A59" s="26" t="str">
        <f t="shared" si="10"/>
        <v/>
      </c>
      <c r="B59" s="59" t="str">
        <f t="shared" si="5"/>
        <v/>
      </c>
      <c r="C59" s="60" t="str">
        <f t="shared" si="6"/>
        <v/>
      </c>
      <c r="D59" s="27" t="str">
        <f t="shared" si="11"/>
        <v/>
      </c>
      <c r="E59" s="27" t="str">
        <f t="shared" si="8"/>
        <v/>
      </c>
      <c r="F59" s="27" t="str">
        <f t="shared" si="7"/>
        <v/>
      </c>
      <c r="G59" s="27" t="str">
        <f t="shared" si="9"/>
        <v/>
      </c>
    </row>
    <row r="60" spans="1:7" s="1" customFormat="1" x14ac:dyDescent="0.25">
      <c r="A60" s="26" t="str">
        <f t="shared" si="10"/>
        <v/>
      </c>
      <c r="B60" s="59" t="str">
        <f t="shared" si="5"/>
        <v/>
      </c>
      <c r="C60" s="60" t="str">
        <f t="shared" si="6"/>
        <v/>
      </c>
      <c r="D60" s="27" t="str">
        <f t="shared" si="11"/>
        <v/>
      </c>
      <c r="E60" s="27" t="str">
        <f t="shared" si="8"/>
        <v/>
      </c>
      <c r="F60" s="27" t="str">
        <f t="shared" si="7"/>
        <v/>
      </c>
      <c r="G60" s="27" t="str">
        <f t="shared" si="9"/>
        <v/>
      </c>
    </row>
    <row r="61" spans="1:7" s="1" customFormat="1" x14ac:dyDescent="0.25">
      <c r="A61" s="26" t="str">
        <f t="shared" si="10"/>
        <v/>
      </c>
      <c r="B61" s="59" t="str">
        <f t="shared" si="5"/>
        <v/>
      </c>
      <c r="C61" s="60" t="str">
        <f t="shared" si="6"/>
        <v/>
      </c>
      <c r="D61" s="27" t="str">
        <f t="shared" si="11"/>
        <v/>
      </c>
      <c r="E61" s="27" t="str">
        <f t="shared" si="8"/>
        <v/>
      </c>
      <c r="F61" s="27" t="str">
        <f t="shared" si="7"/>
        <v/>
      </c>
      <c r="G61" s="27" t="str">
        <f t="shared" si="9"/>
        <v/>
      </c>
    </row>
    <row r="62" spans="1:7" s="1" customFormat="1" x14ac:dyDescent="0.25">
      <c r="A62" s="26" t="str">
        <f t="shared" si="10"/>
        <v/>
      </c>
      <c r="B62" s="59" t="str">
        <f t="shared" si="5"/>
        <v/>
      </c>
      <c r="C62" s="60" t="str">
        <f t="shared" si="6"/>
        <v/>
      </c>
      <c r="D62" s="27" t="str">
        <f t="shared" si="11"/>
        <v/>
      </c>
      <c r="E62" s="27" t="str">
        <f t="shared" si="8"/>
        <v/>
      </c>
      <c r="F62" s="27" t="str">
        <f t="shared" si="7"/>
        <v/>
      </c>
      <c r="G62" s="27" t="str">
        <f t="shared" si="9"/>
        <v/>
      </c>
    </row>
    <row r="63" spans="1:7" s="1" customFormat="1" x14ac:dyDescent="0.25">
      <c r="A63" s="26" t="str">
        <f t="shared" si="10"/>
        <v/>
      </c>
      <c r="B63" s="59" t="str">
        <f t="shared" si="5"/>
        <v/>
      </c>
      <c r="C63" s="60" t="str">
        <f t="shared" si="6"/>
        <v/>
      </c>
      <c r="D63" s="27" t="str">
        <f t="shared" si="11"/>
        <v/>
      </c>
      <c r="E63" s="27" t="str">
        <f t="shared" si="8"/>
        <v/>
      </c>
      <c r="F63" s="27" t="str">
        <f t="shared" si="7"/>
        <v/>
      </c>
      <c r="G63" s="27" t="str">
        <f t="shared" si="9"/>
        <v/>
      </c>
    </row>
    <row r="64" spans="1:7" s="1" customFormat="1" x14ac:dyDescent="0.25">
      <c r="A64" s="26" t="str">
        <f t="shared" si="10"/>
        <v/>
      </c>
      <c r="B64" s="59" t="str">
        <f t="shared" si="5"/>
        <v/>
      </c>
      <c r="C64" s="60" t="str">
        <f t="shared" si="6"/>
        <v/>
      </c>
      <c r="D64" s="27" t="str">
        <f t="shared" si="11"/>
        <v/>
      </c>
      <c r="E64" s="27" t="str">
        <f t="shared" si="8"/>
        <v/>
      </c>
      <c r="F64" s="27" t="str">
        <f t="shared" si="7"/>
        <v/>
      </c>
      <c r="G64" s="27" t="str">
        <f t="shared" si="9"/>
        <v/>
      </c>
    </row>
    <row r="65" spans="1:7" x14ac:dyDescent="0.25">
      <c r="A65" s="26" t="str">
        <f t="shared" si="10"/>
        <v/>
      </c>
      <c r="B65" s="59" t="str">
        <f t="shared" si="5"/>
        <v/>
      </c>
      <c r="C65" s="60" t="str">
        <f t="shared" si="6"/>
        <v/>
      </c>
      <c r="D65" s="27" t="str">
        <f t="shared" si="11"/>
        <v/>
      </c>
      <c r="E65" s="27" t="str">
        <f t="shared" si="8"/>
        <v/>
      </c>
      <c r="F65" s="27" t="str">
        <f t="shared" si="7"/>
        <v/>
      </c>
      <c r="G65" s="27" t="str">
        <f t="shared" si="9"/>
        <v/>
      </c>
    </row>
    <row r="66" spans="1:7" x14ac:dyDescent="0.25">
      <c r="A66" s="26" t="str">
        <f t="shared" si="10"/>
        <v/>
      </c>
      <c r="B66" s="59" t="str">
        <f t="shared" si="5"/>
        <v/>
      </c>
      <c r="C66" s="60" t="str">
        <f t="shared" si="6"/>
        <v/>
      </c>
      <c r="D66" s="27" t="str">
        <f t="shared" si="11"/>
        <v/>
      </c>
      <c r="E66" s="27" t="str">
        <f t="shared" si="8"/>
        <v/>
      </c>
      <c r="F66" s="27" t="str">
        <f t="shared" si="7"/>
        <v/>
      </c>
      <c r="G66" s="27" t="str">
        <f t="shared" si="9"/>
        <v/>
      </c>
    </row>
    <row r="67" spans="1:7" x14ac:dyDescent="0.25">
      <c r="A67" s="26" t="str">
        <f t="shared" si="10"/>
        <v/>
      </c>
      <c r="B67" s="59" t="str">
        <f t="shared" si="5"/>
        <v/>
      </c>
      <c r="C67" s="60" t="str">
        <f t="shared" si="6"/>
        <v/>
      </c>
      <c r="D67" s="27" t="str">
        <f t="shared" si="11"/>
        <v/>
      </c>
      <c r="E67" s="27" t="str">
        <f t="shared" si="8"/>
        <v/>
      </c>
      <c r="F67" s="27" t="str">
        <f t="shared" si="7"/>
        <v/>
      </c>
      <c r="G67" s="27" t="str">
        <f t="shared" si="9"/>
        <v/>
      </c>
    </row>
    <row r="68" spans="1:7" x14ac:dyDescent="0.25">
      <c r="A68" s="26" t="str">
        <f t="shared" si="10"/>
        <v/>
      </c>
      <c r="B68" s="59" t="str">
        <f t="shared" si="5"/>
        <v/>
      </c>
      <c r="C68" s="60" t="str">
        <f t="shared" si="6"/>
        <v/>
      </c>
      <c r="D68" s="27" t="str">
        <f t="shared" si="11"/>
        <v/>
      </c>
      <c r="E68" s="27" t="str">
        <f t="shared" si="8"/>
        <v/>
      </c>
      <c r="F68" s="27" t="str">
        <f t="shared" si="7"/>
        <v/>
      </c>
      <c r="G68" s="27" t="str">
        <f t="shared" si="9"/>
        <v/>
      </c>
    </row>
    <row r="69" spans="1:7" x14ac:dyDescent="0.25">
      <c r="A69" s="26" t="str">
        <f t="shared" si="10"/>
        <v/>
      </c>
      <c r="B69" s="59" t="str">
        <f t="shared" si="5"/>
        <v/>
      </c>
      <c r="C69" s="60" t="str">
        <f t="shared" si="6"/>
        <v/>
      </c>
      <c r="D69" s="27" t="str">
        <f t="shared" si="11"/>
        <v/>
      </c>
      <c r="E69" s="27" t="str">
        <f t="shared" si="8"/>
        <v/>
      </c>
      <c r="F69" s="27" t="str">
        <f t="shared" si="7"/>
        <v/>
      </c>
      <c r="G69" s="27" t="str">
        <f t="shared" si="9"/>
        <v/>
      </c>
    </row>
    <row r="70" spans="1:7" x14ac:dyDescent="0.25">
      <c r="A70" s="26" t="str">
        <f t="shared" si="10"/>
        <v/>
      </c>
      <c r="B70" s="59" t="str">
        <f t="shared" si="5"/>
        <v/>
      </c>
      <c r="C70" s="60" t="str">
        <f t="shared" si="6"/>
        <v/>
      </c>
      <c r="D70" s="27" t="str">
        <f t="shared" si="11"/>
        <v/>
      </c>
      <c r="E70" s="27" t="str">
        <f t="shared" si="8"/>
        <v/>
      </c>
      <c r="F70" s="27" t="str">
        <f t="shared" si="7"/>
        <v/>
      </c>
      <c r="G70" s="27" t="str">
        <f t="shared" si="9"/>
        <v/>
      </c>
    </row>
  </sheetData>
  <protectedRanges>
    <protectedRange sqref="C7" name="Range1_1"/>
    <protectedRange sqref="B11:B70" name="Range1_1_1_1"/>
    <protectedRange sqref="C6" name="Range1_2"/>
  </protectedRanges>
  <mergeCells count="2">
    <mergeCell ref="A1:G1"/>
    <mergeCell ref="A2:G2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Views>
    <sheetView showGridLines="0" workbookViewId="0">
      <selection activeCell="B18" sqref="B18"/>
    </sheetView>
  </sheetViews>
  <sheetFormatPr defaultRowHeight="15" x14ac:dyDescent="0.25"/>
  <cols>
    <col min="1" max="1" width="14.42578125" style="5" customWidth="1"/>
    <col min="2" max="2" width="15.5703125" customWidth="1"/>
    <col min="3" max="3" width="14.42578125" customWidth="1"/>
    <col min="4" max="4" width="15.7109375" customWidth="1"/>
    <col min="5" max="5" width="14.5703125" customWidth="1"/>
    <col min="6" max="6" width="15.5703125" customWidth="1"/>
    <col min="7" max="7" width="16" customWidth="1"/>
  </cols>
  <sheetData>
    <row r="1" spans="1:7" ht="20.25" customHeight="1" x14ac:dyDescent="0.3">
      <c r="A1" s="114" t="s">
        <v>32</v>
      </c>
      <c r="B1" s="114"/>
      <c r="C1" s="114"/>
      <c r="D1" s="114"/>
      <c r="E1" s="114"/>
      <c r="F1" s="114"/>
      <c r="G1" s="3"/>
    </row>
    <row r="2" spans="1:7" ht="15.75" customHeight="1" x14ac:dyDescent="0.25">
      <c r="A2" s="115" t="s">
        <v>39</v>
      </c>
      <c r="B2" s="115"/>
      <c r="C2" s="115"/>
      <c r="D2" s="115"/>
      <c r="E2" s="115"/>
      <c r="F2" s="115"/>
      <c r="G2" s="3"/>
    </row>
    <row r="3" spans="1:7" ht="15.75" x14ac:dyDescent="0.25">
      <c r="A3" s="71"/>
      <c r="B3" s="71"/>
      <c r="C3" s="71"/>
      <c r="D3" s="71"/>
      <c r="E3" s="71"/>
      <c r="F3" s="71"/>
      <c r="G3" s="3"/>
    </row>
    <row r="4" spans="1:7" ht="15.75" customHeight="1" x14ac:dyDescent="0.25">
      <c r="A4" s="10" t="s">
        <v>9</v>
      </c>
      <c r="B4" s="23">
        <v>400000000</v>
      </c>
      <c r="C4" s="9"/>
      <c r="D4" s="79" t="s">
        <v>42</v>
      </c>
      <c r="E4" s="78">
        <v>5</v>
      </c>
      <c r="F4" s="64"/>
      <c r="G4" s="3"/>
    </row>
    <row r="5" spans="1:7" ht="15.75" customHeight="1" x14ac:dyDescent="0.25">
      <c r="A5" s="10" t="s">
        <v>10</v>
      </c>
      <c r="B5" s="24">
        <v>36</v>
      </c>
      <c r="C5" s="15"/>
      <c r="D5" s="84" t="s">
        <v>41</v>
      </c>
      <c r="E5" s="82">
        <v>0.02</v>
      </c>
      <c r="F5" s="64"/>
      <c r="G5" s="3"/>
    </row>
    <row r="6" spans="1:7" ht="18" customHeight="1" x14ac:dyDescent="0.25">
      <c r="A6" s="11" t="s">
        <v>18</v>
      </c>
      <c r="B6" s="33">
        <v>1.4999999999999999E-2</v>
      </c>
      <c r="C6" s="15"/>
      <c r="D6" s="15"/>
      <c r="E6" s="15"/>
      <c r="F6" s="64"/>
      <c r="G6" s="3"/>
    </row>
    <row r="7" spans="1:7" ht="15.75" customHeight="1" x14ac:dyDescent="0.25">
      <c r="A7" s="12" t="s">
        <v>12</v>
      </c>
      <c r="B7" s="25">
        <f ca="1">NOW()</f>
        <v>42577.361573379632</v>
      </c>
      <c r="C7" s="15"/>
      <c r="D7" s="80" t="s">
        <v>26</v>
      </c>
      <c r="E7" s="83">
        <f>SUM(E11:E70)/($B$4*$B$5)</f>
        <v>1.9305555555555555E-2</v>
      </c>
      <c r="F7" s="86">
        <f>E7*12</f>
        <v>0.23166666666666666</v>
      </c>
      <c r="G7" s="85"/>
    </row>
    <row r="8" spans="1:7" ht="16.5" customHeight="1" x14ac:dyDescent="0.25">
      <c r="A8" s="16"/>
      <c r="B8" s="16"/>
      <c r="C8" s="15"/>
      <c r="D8" s="81" t="s">
        <v>25</v>
      </c>
      <c r="E8" s="83">
        <f>RATE($B$5,(($B$4*$E$7*$B$5)+$B$4)/$B$5,-$B$4)</f>
        <v>3.1859292796383921E-2</v>
      </c>
      <c r="F8" s="86">
        <f>E8*12</f>
        <v>0.38231151355660709</v>
      </c>
    </row>
    <row r="9" spans="1:7" ht="16.5" customHeight="1" x14ac:dyDescent="0.25">
      <c r="A9" s="16"/>
      <c r="B9" s="16"/>
      <c r="C9" s="15"/>
      <c r="D9" s="94">
        <f>SUM(D11:D70)</f>
        <v>399999999.99999982</v>
      </c>
      <c r="E9" s="94">
        <f t="shared" ref="E9:F9" si="0">SUM(E11:E70)</f>
        <v>278000000</v>
      </c>
      <c r="F9" s="94">
        <f t="shared" si="0"/>
        <v>678000000.00000024</v>
      </c>
    </row>
    <row r="10" spans="1:7" x14ac:dyDescent="0.25">
      <c r="A10" s="6" t="s">
        <v>0</v>
      </c>
      <c r="B10" s="6" t="s">
        <v>1</v>
      </c>
      <c r="C10" s="6" t="s">
        <v>3</v>
      </c>
      <c r="D10" s="6" t="s">
        <v>4</v>
      </c>
      <c r="E10" s="6" t="s">
        <v>5</v>
      </c>
      <c r="F10" s="6" t="s">
        <v>6</v>
      </c>
      <c r="G10" s="31"/>
    </row>
    <row r="11" spans="1:7" x14ac:dyDescent="0.25">
      <c r="A11" s="26">
        <v>1</v>
      </c>
      <c r="B11" s="76">
        <f ca="1" xml:space="preserve"> IFERROR(IF(DAY(EOMONTH(B7,1))&lt;=DAY(B7),EOMONTH(B7,1),DATE(YEAR(B7),MONTH(B7)+1,DAY(B7))),"No date in system")</f>
        <v>42608</v>
      </c>
      <c r="C11" s="27">
        <f>IF(A11&gt;$B$5,"",B4)</f>
        <v>400000000</v>
      </c>
      <c r="D11" s="27">
        <f>IF(A11&gt;$B$5,"",$B$4/$B$5)</f>
        <v>11111111.111111112</v>
      </c>
      <c r="E11" s="27">
        <f>IF(A11&gt;$B$5,"",IF(A11&gt;$E$4,$B$4*$E$5,$B$4*$B$6))</f>
        <v>6000000</v>
      </c>
      <c r="F11" s="27">
        <f>IF(A11&gt;$B$5,"",D11+E11)</f>
        <v>17111111.111111112</v>
      </c>
      <c r="G11" s="32"/>
    </row>
    <row r="12" spans="1:7" x14ac:dyDescent="0.25">
      <c r="A12" s="26">
        <f>IF(A11&lt;$B$5,A11+1,"")</f>
        <v>2</v>
      </c>
      <c r="B12" s="77">
        <f ca="1" xml:space="preserve"> IFERROR(IF($A12&gt;$B$5,"",IF(DAY(EOMONTH(B11,1))&lt;=DAY($B$7),EOMONTH(B11,1),DATE(YEAR(B11),MONTH(B11)+1,DAY($B$7)))),"No date in system")</f>
        <v>42639</v>
      </c>
      <c r="C12" s="27">
        <f>IF(A12&gt;$B$5,"",C11-D11)</f>
        <v>388888888.8888889</v>
      </c>
      <c r="D12" s="27">
        <f t="shared" ref="D12:D70" si="1">IF(A12&gt;$B$5,"",$B$4/$B$5)</f>
        <v>11111111.111111112</v>
      </c>
      <c r="E12" s="27">
        <f t="shared" ref="E12:E70" si="2">IF(A12&gt;$B$5,"",IF(A12&gt;$E$4,$B$4*$E$5,$B$4*$B$6))</f>
        <v>6000000</v>
      </c>
      <c r="F12" s="27">
        <f t="shared" ref="F12:F70" si="3">IF(A12&gt;$B$5,"",D12+E12)</f>
        <v>17111111.111111112</v>
      </c>
      <c r="G12" s="32"/>
    </row>
    <row r="13" spans="1:7" x14ac:dyDescent="0.25">
      <c r="A13" s="26">
        <f t="shared" ref="A13:A70" si="4">IF(A12&lt;$B$5,A12+1,"")</f>
        <v>3</v>
      </c>
      <c r="B13" s="77">
        <f t="shared" ref="B13:B70" ca="1" si="5" xml:space="preserve"> IFERROR(IF($A13&gt;$B$5,"",IF(DAY(EOMONTH(B12,1))&lt;=DAY($B$7),EOMONTH(B12,1),DATE(YEAR(B12),MONTH(B12)+1,DAY($B$7)))),"No date in system")</f>
        <v>42669</v>
      </c>
      <c r="C13" s="27">
        <f t="shared" ref="C13:C70" si="6">IF(A13&gt;$B$5,"",C12-D12)</f>
        <v>377777777.77777779</v>
      </c>
      <c r="D13" s="27">
        <f t="shared" si="1"/>
        <v>11111111.111111112</v>
      </c>
      <c r="E13" s="27">
        <f t="shared" si="2"/>
        <v>6000000</v>
      </c>
      <c r="F13" s="27">
        <f t="shared" si="3"/>
        <v>17111111.111111112</v>
      </c>
      <c r="G13" s="32"/>
    </row>
    <row r="14" spans="1:7" x14ac:dyDescent="0.25">
      <c r="A14" s="26">
        <f t="shared" si="4"/>
        <v>4</v>
      </c>
      <c r="B14" s="77">
        <f t="shared" ca="1" si="5"/>
        <v>42700</v>
      </c>
      <c r="C14" s="27">
        <f t="shared" si="6"/>
        <v>366666666.66666669</v>
      </c>
      <c r="D14" s="27">
        <f t="shared" si="1"/>
        <v>11111111.111111112</v>
      </c>
      <c r="E14" s="27">
        <f t="shared" si="2"/>
        <v>6000000</v>
      </c>
      <c r="F14" s="27">
        <f t="shared" si="3"/>
        <v>17111111.111111112</v>
      </c>
      <c r="G14" s="87"/>
    </row>
    <row r="15" spans="1:7" x14ac:dyDescent="0.25">
      <c r="A15" s="26">
        <f t="shared" si="4"/>
        <v>5</v>
      </c>
      <c r="B15" s="77">
        <f t="shared" ca="1" si="5"/>
        <v>42730</v>
      </c>
      <c r="C15" s="27">
        <f t="shared" si="6"/>
        <v>355555555.55555558</v>
      </c>
      <c r="D15" s="27">
        <f t="shared" si="1"/>
        <v>11111111.111111112</v>
      </c>
      <c r="E15" s="27">
        <f t="shared" si="2"/>
        <v>6000000</v>
      </c>
      <c r="F15" s="27">
        <f t="shared" si="3"/>
        <v>17111111.111111112</v>
      </c>
      <c r="G15" s="87"/>
    </row>
    <row r="16" spans="1:7" x14ac:dyDescent="0.25">
      <c r="A16" s="26">
        <f t="shared" si="4"/>
        <v>6</v>
      </c>
      <c r="B16" s="77">
        <f t="shared" ca="1" si="5"/>
        <v>42761</v>
      </c>
      <c r="C16" s="27">
        <f t="shared" si="6"/>
        <v>344444444.44444448</v>
      </c>
      <c r="D16" s="27">
        <f t="shared" si="1"/>
        <v>11111111.111111112</v>
      </c>
      <c r="E16" s="27">
        <f t="shared" si="2"/>
        <v>8000000</v>
      </c>
      <c r="F16" s="27">
        <f t="shared" si="3"/>
        <v>19111111.111111112</v>
      </c>
      <c r="G16" s="87"/>
    </row>
    <row r="17" spans="1:7" x14ac:dyDescent="0.25">
      <c r="A17" s="26">
        <f t="shared" si="4"/>
        <v>7</v>
      </c>
      <c r="B17" s="77">
        <f t="shared" ca="1" si="5"/>
        <v>42792</v>
      </c>
      <c r="C17" s="27">
        <f t="shared" si="6"/>
        <v>333333333.33333337</v>
      </c>
      <c r="D17" s="27">
        <f t="shared" si="1"/>
        <v>11111111.111111112</v>
      </c>
      <c r="E17" s="27">
        <f t="shared" si="2"/>
        <v>8000000</v>
      </c>
      <c r="F17" s="27">
        <f t="shared" si="3"/>
        <v>19111111.111111112</v>
      </c>
      <c r="G17" s="87"/>
    </row>
    <row r="18" spans="1:7" x14ac:dyDescent="0.25">
      <c r="A18" s="26">
        <f t="shared" si="4"/>
        <v>8</v>
      </c>
      <c r="B18" s="77">
        <f t="shared" ca="1" si="5"/>
        <v>42820</v>
      </c>
      <c r="C18" s="27">
        <f t="shared" si="6"/>
        <v>322222222.22222227</v>
      </c>
      <c r="D18" s="27">
        <f t="shared" si="1"/>
        <v>11111111.111111112</v>
      </c>
      <c r="E18" s="27">
        <f t="shared" si="2"/>
        <v>8000000</v>
      </c>
      <c r="F18" s="27">
        <f t="shared" si="3"/>
        <v>19111111.111111112</v>
      </c>
      <c r="G18" s="87"/>
    </row>
    <row r="19" spans="1:7" x14ac:dyDescent="0.25">
      <c r="A19" s="26">
        <f t="shared" si="4"/>
        <v>9</v>
      </c>
      <c r="B19" s="77">
        <f t="shared" ca="1" si="5"/>
        <v>42851</v>
      </c>
      <c r="C19" s="27">
        <f t="shared" si="6"/>
        <v>311111111.11111116</v>
      </c>
      <c r="D19" s="27">
        <f t="shared" si="1"/>
        <v>11111111.111111112</v>
      </c>
      <c r="E19" s="27">
        <f t="shared" si="2"/>
        <v>8000000</v>
      </c>
      <c r="F19" s="27">
        <f t="shared" si="3"/>
        <v>19111111.111111112</v>
      </c>
      <c r="G19" s="32"/>
    </row>
    <row r="20" spans="1:7" x14ac:dyDescent="0.25">
      <c r="A20" s="26">
        <f t="shared" si="4"/>
        <v>10</v>
      </c>
      <c r="B20" s="77">
        <f t="shared" ca="1" si="5"/>
        <v>42881</v>
      </c>
      <c r="C20" s="27">
        <f t="shared" si="6"/>
        <v>300000000.00000006</v>
      </c>
      <c r="D20" s="27">
        <f t="shared" si="1"/>
        <v>11111111.111111112</v>
      </c>
      <c r="E20" s="27">
        <f>IF(A20&gt;$B$5,"",IF(A20&gt;$E$4,$B$4*$E$5,$B$4*$B$6))</f>
        <v>8000000</v>
      </c>
      <c r="F20" s="27">
        <f t="shared" si="3"/>
        <v>19111111.111111112</v>
      </c>
      <c r="G20" s="32"/>
    </row>
    <row r="21" spans="1:7" x14ac:dyDescent="0.25">
      <c r="A21" s="26">
        <f t="shared" si="4"/>
        <v>11</v>
      </c>
      <c r="B21" s="77">
        <f t="shared" ca="1" si="5"/>
        <v>42912</v>
      </c>
      <c r="C21" s="27">
        <f t="shared" si="6"/>
        <v>288888888.88888896</v>
      </c>
      <c r="D21" s="27">
        <f t="shared" si="1"/>
        <v>11111111.111111112</v>
      </c>
      <c r="E21" s="27">
        <f t="shared" si="2"/>
        <v>8000000</v>
      </c>
      <c r="F21" s="27">
        <f t="shared" si="3"/>
        <v>19111111.111111112</v>
      </c>
      <c r="G21" s="32"/>
    </row>
    <row r="22" spans="1:7" x14ac:dyDescent="0.25">
      <c r="A22" s="26">
        <f t="shared" si="4"/>
        <v>12</v>
      </c>
      <c r="B22" s="77">
        <f t="shared" ca="1" si="5"/>
        <v>42942</v>
      </c>
      <c r="C22" s="27">
        <f t="shared" si="6"/>
        <v>277777777.77777785</v>
      </c>
      <c r="D22" s="27">
        <f t="shared" si="1"/>
        <v>11111111.111111112</v>
      </c>
      <c r="E22" s="27">
        <f t="shared" si="2"/>
        <v>8000000</v>
      </c>
      <c r="F22" s="27">
        <f t="shared" si="3"/>
        <v>19111111.111111112</v>
      </c>
      <c r="G22" s="32"/>
    </row>
    <row r="23" spans="1:7" x14ac:dyDescent="0.25">
      <c r="A23" s="26">
        <f t="shared" si="4"/>
        <v>13</v>
      </c>
      <c r="B23" s="77">
        <f t="shared" ca="1" si="5"/>
        <v>42973</v>
      </c>
      <c r="C23" s="27">
        <f t="shared" si="6"/>
        <v>266666666.66666675</v>
      </c>
      <c r="D23" s="27">
        <f t="shared" si="1"/>
        <v>11111111.111111112</v>
      </c>
      <c r="E23" s="27">
        <f t="shared" si="2"/>
        <v>8000000</v>
      </c>
      <c r="F23" s="27">
        <f t="shared" si="3"/>
        <v>19111111.111111112</v>
      </c>
      <c r="G23" s="32"/>
    </row>
    <row r="24" spans="1:7" x14ac:dyDescent="0.25">
      <c r="A24" s="26">
        <f t="shared" si="4"/>
        <v>14</v>
      </c>
      <c r="B24" s="77">
        <f t="shared" ca="1" si="5"/>
        <v>43004</v>
      </c>
      <c r="C24" s="27">
        <f t="shared" si="6"/>
        <v>255555555.55555564</v>
      </c>
      <c r="D24" s="27">
        <f t="shared" si="1"/>
        <v>11111111.111111112</v>
      </c>
      <c r="E24" s="27">
        <f t="shared" si="2"/>
        <v>8000000</v>
      </c>
      <c r="F24" s="27">
        <f t="shared" si="3"/>
        <v>19111111.111111112</v>
      </c>
      <c r="G24" s="32"/>
    </row>
    <row r="25" spans="1:7" x14ac:dyDescent="0.25">
      <c r="A25" s="26">
        <f t="shared" si="4"/>
        <v>15</v>
      </c>
      <c r="B25" s="77">
        <f t="shared" ca="1" si="5"/>
        <v>43034</v>
      </c>
      <c r="C25" s="27">
        <f t="shared" si="6"/>
        <v>244444444.44444454</v>
      </c>
      <c r="D25" s="27">
        <f t="shared" si="1"/>
        <v>11111111.111111112</v>
      </c>
      <c r="E25" s="27">
        <f t="shared" si="2"/>
        <v>8000000</v>
      </c>
      <c r="F25" s="27">
        <f t="shared" si="3"/>
        <v>19111111.111111112</v>
      </c>
      <c r="G25" s="32"/>
    </row>
    <row r="26" spans="1:7" x14ac:dyDescent="0.25">
      <c r="A26" s="26">
        <f t="shared" si="4"/>
        <v>16</v>
      </c>
      <c r="B26" s="77">
        <f t="shared" ca="1" si="5"/>
        <v>43065</v>
      </c>
      <c r="C26" s="27">
        <f t="shared" si="6"/>
        <v>233333333.33333343</v>
      </c>
      <c r="D26" s="27">
        <f t="shared" si="1"/>
        <v>11111111.111111112</v>
      </c>
      <c r="E26" s="27">
        <f t="shared" si="2"/>
        <v>8000000</v>
      </c>
      <c r="F26" s="27">
        <f t="shared" si="3"/>
        <v>19111111.111111112</v>
      </c>
      <c r="G26" s="32"/>
    </row>
    <row r="27" spans="1:7" x14ac:dyDescent="0.25">
      <c r="A27" s="26">
        <f t="shared" si="4"/>
        <v>17</v>
      </c>
      <c r="B27" s="77">
        <f t="shared" ca="1" si="5"/>
        <v>43095</v>
      </c>
      <c r="C27" s="27">
        <f t="shared" si="6"/>
        <v>222222222.22222233</v>
      </c>
      <c r="D27" s="27">
        <f t="shared" si="1"/>
        <v>11111111.111111112</v>
      </c>
      <c r="E27" s="27">
        <f t="shared" si="2"/>
        <v>8000000</v>
      </c>
      <c r="F27" s="27">
        <f t="shared" si="3"/>
        <v>19111111.111111112</v>
      </c>
      <c r="G27" s="32"/>
    </row>
    <row r="28" spans="1:7" x14ac:dyDescent="0.25">
      <c r="A28" s="26">
        <f t="shared" si="4"/>
        <v>18</v>
      </c>
      <c r="B28" s="77">
        <f t="shared" ca="1" si="5"/>
        <v>43126</v>
      </c>
      <c r="C28" s="27">
        <f t="shared" si="6"/>
        <v>211111111.11111122</v>
      </c>
      <c r="D28" s="27">
        <f t="shared" si="1"/>
        <v>11111111.111111112</v>
      </c>
      <c r="E28" s="27">
        <f t="shared" si="2"/>
        <v>8000000</v>
      </c>
      <c r="F28" s="27">
        <f t="shared" si="3"/>
        <v>19111111.111111112</v>
      </c>
      <c r="G28" s="32"/>
    </row>
    <row r="29" spans="1:7" x14ac:dyDescent="0.25">
      <c r="A29" s="26">
        <f t="shared" si="4"/>
        <v>19</v>
      </c>
      <c r="B29" s="77">
        <f t="shared" ca="1" si="5"/>
        <v>43157</v>
      </c>
      <c r="C29" s="27">
        <f t="shared" si="6"/>
        <v>200000000.00000012</v>
      </c>
      <c r="D29" s="27">
        <f t="shared" si="1"/>
        <v>11111111.111111112</v>
      </c>
      <c r="E29" s="27">
        <f t="shared" si="2"/>
        <v>8000000</v>
      </c>
      <c r="F29" s="27">
        <f t="shared" si="3"/>
        <v>19111111.111111112</v>
      </c>
      <c r="G29" s="32"/>
    </row>
    <row r="30" spans="1:7" x14ac:dyDescent="0.25">
      <c r="A30" s="26">
        <f t="shared" si="4"/>
        <v>20</v>
      </c>
      <c r="B30" s="77">
        <f t="shared" ca="1" si="5"/>
        <v>43185</v>
      </c>
      <c r="C30" s="27">
        <f t="shared" si="6"/>
        <v>188888888.88888901</v>
      </c>
      <c r="D30" s="27">
        <f t="shared" si="1"/>
        <v>11111111.111111112</v>
      </c>
      <c r="E30" s="27">
        <f t="shared" si="2"/>
        <v>8000000</v>
      </c>
      <c r="F30" s="27">
        <f t="shared" si="3"/>
        <v>19111111.111111112</v>
      </c>
      <c r="G30" s="32"/>
    </row>
    <row r="31" spans="1:7" x14ac:dyDescent="0.25">
      <c r="A31" s="26">
        <f t="shared" si="4"/>
        <v>21</v>
      </c>
      <c r="B31" s="77">
        <f t="shared" ca="1" si="5"/>
        <v>43216</v>
      </c>
      <c r="C31" s="27">
        <f t="shared" si="6"/>
        <v>177777777.77777791</v>
      </c>
      <c r="D31" s="27">
        <f t="shared" si="1"/>
        <v>11111111.111111112</v>
      </c>
      <c r="E31" s="27">
        <f t="shared" si="2"/>
        <v>8000000</v>
      </c>
      <c r="F31" s="27">
        <f t="shared" si="3"/>
        <v>19111111.111111112</v>
      </c>
      <c r="G31" s="32"/>
    </row>
    <row r="32" spans="1:7" x14ac:dyDescent="0.25">
      <c r="A32" s="26">
        <f t="shared" si="4"/>
        <v>22</v>
      </c>
      <c r="B32" s="77">
        <f t="shared" ca="1" si="5"/>
        <v>43246</v>
      </c>
      <c r="C32" s="27">
        <f t="shared" si="6"/>
        <v>166666666.66666681</v>
      </c>
      <c r="D32" s="27">
        <f t="shared" si="1"/>
        <v>11111111.111111112</v>
      </c>
      <c r="E32" s="27">
        <f t="shared" si="2"/>
        <v>8000000</v>
      </c>
      <c r="F32" s="27">
        <f t="shared" si="3"/>
        <v>19111111.111111112</v>
      </c>
      <c r="G32" s="32"/>
    </row>
    <row r="33" spans="1:7" s="1" customFormat="1" x14ac:dyDescent="0.25">
      <c r="A33" s="26">
        <f t="shared" si="4"/>
        <v>23</v>
      </c>
      <c r="B33" s="77">
        <f t="shared" ca="1" si="5"/>
        <v>43277</v>
      </c>
      <c r="C33" s="27">
        <f t="shared" si="6"/>
        <v>155555555.5555557</v>
      </c>
      <c r="D33" s="27">
        <f t="shared" si="1"/>
        <v>11111111.111111112</v>
      </c>
      <c r="E33" s="27">
        <f t="shared" si="2"/>
        <v>8000000</v>
      </c>
      <c r="F33" s="27">
        <f t="shared" si="3"/>
        <v>19111111.111111112</v>
      </c>
      <c r="G33" s="32"/>
    </row>
    <row r="34" spans="1:7" s="1" customFormat="1" x14ac:dyDescent="0.25">
      <c r="A34" s="26">
        <f t="shared" si="4"/>
        <v>24</v>
      </c>
      <c r="B34" s="77">
        <f t="shared" ca="1" si="5"/>
        <v>43307</v>
      </c>
      <c r="C34" s="27">
        <f t="shared" si="6"/>
        <v>144444444.4444446</v>
      </c>
      <c r="D34" s="27">
        <f t="shared" si="1"/>
        <v>11111111.111111112</v>
      </c>
      <c r="E34" s="27">
        <f t="shared" si="2"/>
        <v>8000000</v>
      </c>
      <c r="F34" s="27">
        <f t="shared" si="3"/>
        <v>19111111.111111112</v>
      </c>
      <c r="G34" s="32"/>
    </row>
    <row r="35" spans="1:7" s="1" customFormat="1" x14ac:dyDescent="0.25">
      <c r="A35" s="26">
        <f t="shared" si="4"/>
        <v>25</v>
      </c>
      <c r="B35" s="77">
        <f t="shared" ca="1" si="5"/>
        <v>43338</v>
      </c>
      <c r="C35" s="27">
        <f t="shared" si="6"/>
        <v>133333333.33333349</v>
      </c>
      <c r="D35" s="27">
        <f t="shared" si="1"/>
        <v>11111111.111111112</v>
      </c>
      <c r="E35" s="27">
        <f t="shared" si="2"/>
        <v>8000000</v>
      </c>
      <c r="F35" s="27">
        <f t="shared" si="3"/>
        <v>19111111.111111112</v>
      </c>
      <c r="G35" s="32"/>
    </row>
    <row r="36" spans="1:7" s="1" customFormat="1" x14ac:dyDescent="0.25">
      <c r="A36" s="26">
        <f t="shared" si="4"/>
        <v>26</v>
      </c>
      <c r="B36" s="77">
        <f t="shared" ca="1" si="5"/>
        <v>43369</v>
      </c>
      <c r="C36" s="27">
        <f t="shared" si="6"/>
        <v>122222222.22222239</v>
      </c>
      <c r="D36" s="27">
        <f t="shared" si="1"/>
        <v>11111111.111111112</v>
      </c>
      <c r="E36" s="27">
        <f t="shared" si="2"/>
        <v>8000000</v>
      </c>
      <c r="F36" s="27">
        <f t="shared" si="3"/>
        <v>19111111.111111112</v>
      </c>
      <c r="G36" s="32"/>
    </row>
    <row r="37" spans="1:7" s="1" customFormat="1" x14ac:dyDescent="0.25">
      <c r="A37" s="26">
        <f t="shared" si="4"/>
        <v>27</v>
      </c>
      <c r="B37" s="77">
        <f t="shared" ca="1" si="5"/>
        <v>43399</v>
      </c>
      <c r="C37" s="27">
        <f t="shared" si="6"/>
        <v>111111111.11111128</v>
      </c>
      <c r="D37" s="27">
        <f t="shared" si="1"/>
        <v>11111111.111111112</v>
      </c>
      <c r="E37" s="27">
        <f t="shared" si="2"/>
        <v>8000000</v>
      </c>
      <c r="F37" s="27">
        <f t="shared" si="3"/>
        <v>19111111.111111112</v>
      </c>
      <c r="G37" s="32"/>
    </row>
    <row r="38" spans="1:7" s="1" customFormat="1" x14ac:dyDescent="0.25">
      <c r="A38" s="26">
        <f t="shared" si="4"/>
        <v>28</v>
      </c>
      <c r="B38" s="77">
        <f t="shared" ca="1" si="5"/>
        <v>43430</v>
      </c>
      <c r="C38" s="27">
        <f t="shared" si="6"/>
        <v>100000000.00000018</v>
      </c>
      <c r="D38" s="27">
        <f t="shared" si="1"/>
        <v>11111111.111111112</v>
      </c>
      <c r="E38" s="27">
        <f t="shared" si="2"/>
        <v>8000000</v>
      </c>
      <c r="F38" s="27">
        <f t="shared" si="3"/>
        <v>19111111.111111112</v>
      </c>
      <c r="G38" s="32"/>
    </row>
    <row r="39" spans="1:7" s="1" customFormat="1" x14ac:dyDescent="0.25">
      <c r="A39" s="26">
        <f t="shared" si="4"/>
        <v>29</v>
      </c>
      <c r="B39" s="77">
        <f t="shared" ca="1" si="5"/>
        <v>43460</v>
      </c>
      <c r="C39" s="27">
        <f t="shared" si="6"/>
        <v>88888888.888889074</v>
      </c>
      <c r="D39" s="27">
        <f t="shared" si="1"/>
        <v>11111111.111111112</v>
      </c>
      <c r="E39" s="27">
        <f t="shared" si="2"/>
        <v>8000000</v>
      </c>
      <c r="F39" s="27">
        <f t="shared" si="3"/>
        <v>19111111.111111112</v>
      </c>
      <c r="G39" s="32"/>
    </row>
    <row r="40" spans="1:7" s="1" customFormat="1" x14ac:dyDescent="0.25">
      <c r="A40" s="26">
        <f t="shared" si="4"/>
        <v>30</v>
      </c>
      <c r="B40" s="77">
        <f t="shared" ca="1" si="5"/>
        <v>43491</v>
      </c>
      <c r="C40" s="27">
        <f t="shared" si="6"/>
        <v>77777777.77777797</v>
      </c>
      <c r="D40" s="27">
        <f t="shared" si="1"/>
        <v>11111111.111111112</v>
      </c>
      <c r="E40" s="27">
        <f t="shared" si="2"/>
        <v>8000000</v>
      </c>
      <c r="F40" s="27">
        <f t="shared" si="3"/>
        <v>19111111.111111112</v>
      </c>
      <c r="G40" s="32"/>
    </row>
    <row r="41" spans="1:7" s="1" customFormat="1" x14ac:dyDescent="0.25">
      <c r="A41" s="26">
        <f t="shared" si="4"/>
        <v>31</v>
      </c>
      <c r="B41" s="77">
        <f t="shared" ca="1" si="5"/>
        <v>43522</v>
      </c>
      <c r="C41" s="27">
        <f t="shared" si="6"/>
        <v>66666666.666666858</v>
      </c>
      <c r="D41" s="27">
        <f t="shared" si="1"/>
        <v>11111111.111111112</v>
      </c>
      <c r="E41" s="27">
        <f t="shared" si="2"/>
        <v>8000000</v>
      </c>
      <c r="F41" s="27">
        <f t="shared" si="3"/>
        <v>19111111.111111112</v>
      </c>
      <c r="G41" s="32"/>
    </row>
    <row r="42" spans="1:7" s="1" customFormat="1" x14ac:dyDescent="0.25">
      <c r="A42" s="26">
        <f t="shared" si="4"/>
        <v>32</v>
      </c>
      <c r="B42" s="77">
        <f t="shared" ca="1" si="5"/>
        <v>43550</v>
      </c>
      <c r="C42" s="27">
        <f t="shared" si="6"/>
        <v>55555555.555555746</v>
      </c>
      <c r="D42" s="27">
        <f t="shared" si="1"/>
        <v>11111111.111111112</v>
      </c>
      <c r="E42" s="27">
        <f t="shared" si="2"/>
        <v>8000000</v>
      </c>
      <c r="F42" s="27">
        <f t="shared" si="3"/>
        <v>19111111.111111112</v>
      </c>
      <c r="G42" s="32"/>
    </row>
    <row r="43" spans="1:7" s="1" customFormat="1" x14ac:dyDescent="0.25">
      <c r="A43" s="26">
        <f t="shared" si="4"/>
        <v>33</v>
      </c>
      <c r="B43" s="77">
        <f t="shared" ca="1" si="5"/>
        <v>43581</v>
      </c>
      <c r="C43" s="27">
        <f t="shared" si="6"/>
        <v>44444444.444444634</v>
      </c>
      <c r="D43" s="27">
        <f t="shared" si="1"/>
        <v>11111111.111111112</v>
      </c>
      <c r="E43" s="27">
        <f t="shared" si="2"/>
        <v>8000000</v>
      </c>
      <c r="F43" s="27">
        <f t="shared" si="3"/>
        <v>19111111.111111112</v>
      </c>
      <c r="G43" s="32"/>
    </row>
    <row r="44" spans="1:7" s="1" customFormat="1" x14ac:dyDescent="0.25">
      <c r="A44" s="26">
        <f t="shared" si="4"/>
        <v>34</v>
      </c>
      <c r="B44" s="77">
        <f t="shared" ca="1" si="5"/>
        <v>43611</v>
      </c>
      <c r="C44" s="27">
        <f t="shared" si="6"/>
        <v>33333333.333333522</v>
      </c>
      <c r="D44" s="27">
        <f t="shared" si="1"/>
        <v>11111111.111111112</v>
      </c>
      <c r="E44" s="27">
        <f t="shared" si="2"/>
        <v>8000000</v>
      </c>
      <c r="F44" s="27">
        <f t="shared" si="3"/>
        <v>19111111.111111112</v>
      </c>
      <c r="G44" s="32"/>
    </row>
    <row r="45" spans="1:7" s="1" customFormat="1" x14ac:dyDescent="0.25">
      <c r="A45" s="26">
        <f t="shared" si="4"/>
        <v>35</v>
      </c>
      <c r="B45" s="77">
        <f t="shared" ca="1" si="5"/>
        <v>43642</v>
      </c>
      <c r="C45" s="27">
        <f t="shared" si="6"/>
        <v>22222222.22222241</v>
      </c>
      <c r="D45" s="27">
        <f t="shared" si="1"/>
        <v>11111111.111111112</v>
      </c>
      <c r="E45" s="27">
        <f t="shared" si="2"/>
        <v>8000000</v>
      </c>
      <c r="F45" s="27">
        <f t="shared" si="3"/>
        <v>19111111.111111112</v>
      </c>
      <c r="G45" s="32"/>
    </row>
    <row r="46" spans="1:7" s="1" customFormat="1" x14ac:dyDescent="0.25">
      <c r="A46" s="26">
        <f t="shared" si="4"/>
        <v>36</v>
      </c>
      <c r="B46" s="77">
        <f t="shared" ca="1" si="5"/>
        <v>43672</v>
      </c>
      <c r="C46" s="27">
        <f t="shared" si="6"/>
        <v>11111111.111111298</v>
      </c>
      <c r="D46" s="27">
        <f t="shared" si="1"/>
        <v>11111111.111111112</v>
      </c>
      <c r="E46" s="27">
        <f t="shared" si="2"/>
        <v>8000000</v>
      </c>
      <c r="F46" s="27">
        <f t="shared" si="3"/>
        <v>19111111.111111112</v>
      </c>
      <c r="G46" s="32"/>
    </row>
    <row r="47" spans="1:7" s="1" customFormat="1" x14ac:dyDescent="0.25">
      <c r="A47" s="26" t="str">
        <f t="shared" si="4"/>
        <v/>
      </c>
      <c r="B47" s="77" t="str">
        <f t="shared" si="5"/>
        <v/>
      </c>
      <c r="C47" s="27" t="str">
        <f t="shared" si="6"/>
        <v/>
      </c>
      <c r="D47" s="27" t="str">
        <f t="shared" si="1"/>
        <v/>
      </c>
      <c r="E47" s="27" t="str">
        <f t="shared" si="2"/>
        <v/>
      </c>
      <c r="F47" s="27" t="str">
        <f t="shared" si="3"/>
        <v/>
      </c>
      <c r="G47" s="32"/>
    </row>
    <row r="48" spans="1:7" s="1" customFormat="1" x14ac:dyDescent="0.25">
      <c r="A48" s="26" t="str">
        <f t="shared" si="4"/>
        <v/>
      </c>
      <c r="B48" s="77" t="str">
        <f t="shared" si="5"/>
        <v/>
      </c>
      <c r="C48" s="27" t="str">
        <f t="shared" si="6"/>
        <v/>
      </c>
      <c r="D48" s="27" t="str">
        <f t="shared" si="1"/>
        <v/>
      </c>
      <c r="E48" s="27" t="str">
        <f t="shared" si="2"/>
        <v/>
      </c>
      <c r="F48" s="27" t="str">
        <f t="shared" si="3"/>
        <v/>
      </c>
      <c r="G48" s="32"/>
    </row>
    <row r="49" spans="1:7" s="1" customFormat="1" x14ac:dyDescent="0.25">
      <c r="A49" s="26" t="str">
        <f t="shared" si="4"/>
        <v/>
      </c>
      <c r="B49" s="77" t="str">
        <f t="shared" si="5"/>
        <v/>
      </c>
      <c r="C49" s="27" t="str">
        <f t="shared" si="6"/>
        <v/>
      </c>
      <c r="D49" s="27" t="str">
        <f t="shared" si="1"/>
        <v/>
      </c>
      <c r="E49" s="27" t="str">
        <f t="shared" si="2"/>
        <v/>
      </c>
      <c r="F49" s="27" t="str">
        <f t="shared" si="3"/>
        <v/>
      </c>
      <c r="G49" s="32"/>
    </row>
    <row r="50" spans="1:7" s="1" customFormat="1" x14ac:dyDescent="0.25">
      <c r="A50" s="26" t="str">
        <f t="shared" si="4"/>
        <v/>
      </c>
      <c r="B50" s="77" t="str">
        <f t="shared" si="5"/>
        <v/>
      </c>
      <c r="C50" s="27" t="str">
        <f t="shared" si="6"/>
        <v/>
      </c>
      <c r="D50" s="27" t="str">
        <f t="shared" si="1"/>
        <v/>
      </c>
      <c r="E50" s="27" t="str">
        <f t="shared" si="2"/>
        <v/>
      </c>
      <c r="F50" s="27" t="str">
        <f t="shared" si="3"/>
        <v/>
      </c>
      <c r="G50" s="32"/>
    </row>
    <row r="51" spans="1:7" s="1" customFormat="1" x14ac:dyDescent="0.25">
      <c r="A51" s="26" t="str">
        <f t="shared" si="4"/>
        <v/>
      </c>
      <c r="B51" s="77" t="str">
        <f t="shared" si="5"/>
        <v/>
      </c>
      <c r="C51" s="27" t="str">
        <f t="shared" si="6"/>
        <v/>
      </c>
      <c r="D51" s="27" t="str">
        <f t="shared" si="1"/>
        <v/>
      </c>
      <c r="E51" s="27" t="str">
        <f t="shared" si="2"/>
        <v/>
      </c>
      <c r="F51" s="27" t="str">
        <f t="shared" si="3"/>
        <v/>
      </c>
      <c r="G51" s="32"/>
    </row>
    <row r="52" spans="1:7" s="1" customFormat="1" x14ac:dyDescent="0.25">
      <c r="A52" s="26" t="str">
        <f t="shared" si="4"/>
        <v/>
      </c>
      <c r="B52" s="77" t="str">
        <f t="shared" si="5"/>
        <v/>
      </c>
      <c r="C52" s="27" t="str">
        <f t="shared" si="6"/>
        <v/>
      </c>
      <c r="D52" s="27" t="str">
        <f t="shared" si="1"/>
        <v/>
      </c>
      <c r="E52" s="27" t="str">
        <f t="shared" si="2"/>
        <v/>
      </c>
      <c r="F52" s="27" t="str">
        <f t="shared" si="3"/>
        <v/>
      </c>
      <c r="G52" s="32"/>
    </row>
    <row r="53" spans="1:7" s="1" customFormat="1" x14ac:dyDescent="0.25">
      <c r="A53" s="26" t="str">
        <f t="shared" si="4"/>
        <v/>
      </c>
      <c r="B53" s="77" t="str">
        <f t="shared" si="5"/>
        <v/>
      </c>
      <c r="C53" s="27" t="str">
        <f t="shared" si="6"/>
        <v/>
      </c>
      <c r="D53" s="27" t="str">
        <f t="shared" si="1"/>
        <v/>
      </c>
      <c r="E53" s="27" t="str">
        <f t="shared" si="2"/>
        <v/>
      </c>
      <c r="F53" s="27" t="str">
        <f t="shared" si="3"/>
        <v/>
      </c>
      <c r="G53" s="32"/>
    </row>
    <row r="54" spans="1:7" s="1" customFormat="1" x14ac:dyDescent="0.25">
      <c r="A54" s="26" t="str">
        <f t="shared" si="4"/>
        <v/>
      </c>
      <c r="B54" s="77" t="str">
        <f t="shared" si="5"/>
        <v/>
      </c>
      <c r="C54" s="27" t="str">
        <f t="shared" si="6"/>
        <v/>
      </c>
      <c r="D54" s="27" t="str">
        <f t="shared" si="1"/>
        <v/>
      </c>
      <c r="E54" s="27" t="str">
        <f t="shared" si="2"/>
        <v/>
      </c>
      <c r="F54" s="27" t="str">
        <f t="shared" si="3"/>
        <v/>
      </c>
      <c r="G54" s="32"/>
    </row>
    <row r="55" spans="1:7" s="1" customFormat="1" x14ac:dyDescent="0.25">
      <c r="A55" s="26" t="str">
        <f t="shared" si="4"/>
        <v/>
      </c>
      <c r="B55" s="77" t="str">
        <f t="shared" si="5"/>
        <v/>
      </c>
      <c r="C55" s="27" t="str">
        <f t="shared" si="6"/>
        <v/>
      </c>
      <c r="D55" s="27" t="str">
        <f t="shared" si="1"/>
        <v/>
      </c>
      <c r="E55" s="27" t="str">
        <f t="shared" si="2"/>
        <v/>
      </c>
      <c r="F55" s="27" t="str">
        <f t="shared" si="3"/>
        <v/>
      </c>
      <c r="G55" s="32"/>
    </row>
    <row r="56" spans="1:7" s="1" customFormat="1" x14ac:dyDescent="0.25">
      <c r="A56" s="26" t="str">
        <f t="shared" si="4"/>
        <v/>
      </c>
      <c r="B56" s="77" t="str">
        <f t="shared" si="5"/>
        <v/>
      </c>
      <c r="C56" s="27" t="str">
        <f t="shared" si="6"/>
        <v/>
      </c>
      <c r="D56" s="27" t="str">
        <f t="shared" si="1"/>
        <v/>
      </c>
      <c r="E56" s="27" t="str">
        <f t="shared" si="2"/>
        <v/>
      </c>
      <c r="F56" s="27" t="str">
        <f t="shared" si="3"/>
        <v/>
      </c>
      <c r="G56" s="32"/>
    </row>
    <row r="57" spans="1:7" s="1" customFormat="1" x14ac:dyDescent="0.25">
      <c r="A57" s="26" t="str">
        <f t="shared" si="4"/>
        <v/>
      </c>
      <c r="B57" s="77" t="str">
        <f t="shared" si="5"/>
        <v/>
      </c>
      <c r="C57" s="27" t="str">
        <f t="shared" si="6"/>
        <v/>
      </c>
      <c r="D57" s="27" t="str">
        <f t="shared" si="1"/>
        <v/>
      </c>
      <c r="E57" s="27" t="str">
        <f t="shared" si="2"/>
        <v/>
      </c>
      <c r="F57" s="27" t="str">
        <f t="shared" si="3"/>
        <v/>
      </c>
      <c r="G57"/>
    </row>
    <row r="58" spans="1:7" s="1" customFormat="1" x14ac:dyDescent="0.25">
      <c r="A58" s="26" t="str">
        <f t="shared" si="4"/>
        <v/>
      </c>
      <c r="B58" s="77" t="str">
        <f t="shared" si="5"/>
        <v/>
      </c>
      <c r="C58" s="27" t="str">
        <f t="shared" si="6"/>
        <v/>
      </c>
      <c r="D58" s="27" t="str">
        <f t="shared" si="1"/>
        <v/>
      </c>
      <c r="E58" s="27" t="str">
        <f t="shared" si="2"/>
        <v/>
      </c>
      <c r="F58" s="27" t="str">
        <f t="shared" si="3"/>
        <v/>
      </c>
      <c r="G58"/>
    </row>
    <row r="59" spans="1:7" s="1" customFormat="1" x14ac:dyDescent="0.25">
      <c r="A59" s="26" t="str">
        <f t="shared" si="4"/>
        <v/>
      </c>
      <c r="B59" s="77" t="str">
        <f t="shared" si="5"/>
        <v/>
      </c>
      <c r="C59" s="27" t="str">
        <f t="shared" si="6"/>
        <v/>
      </c>
      <c r="D59" s="27" t="str">
        <f t="shared" si="1"/>
        <v/>
      </c>
      <c r="E59" s="27" t="str">
        <f t="shared" si="2"/>
        <v/>
      </c>
      <c r="F59" s="27" t="str">
        <f t="shared" si="3"/>
        <v/>
      </c>
      <c r="G59"/>
    </row>
    <row r="60" spans="1:7" s="1" customFormat="1" x14ac:dyDescent="0.25">
      <c r="A60" s="26" t="str">
        <f t="shared" si="4"/>
        <v/>
      </c>
      <c r="B60" s="77" t="str">
        <f t="shared" si="5"/>
        <v/>
      </c>
      <c r="C60" s="27" t="str">
        <f t="shared" si="6"/>
        <v/>
      </c>
      <c r="D60" s="27" t="str">
        <f t="shared" si="1"/>
        <v/>
      </c>
      <c r="E60" s="27" t="str">
        <f t="shared" si="2"/>
        <v/>
      </c>
      <c r="F60" s="27" t="str">
        <f t="shared" si="3"/>
        <v/>
      </c>
      <c r="G60"/>
    </row>
    <row r="61" spans="1:7" s="1" customFormat="1" x14ac:dyDescent="0.25">
      <c r="A61" s="26" t="str">
        <f t="shared" si="4"/>
        <v/>
      </c>
      <c r="B61" s="77" t="str">
        <f t="shared" si="5"/>
        <v/>
      </c>
      <c r="C61" s="27" t="str">
        <f t="shared" si="6"/>
        <v/>
      </c>
      <c r="D61" s="27" t="str">
        <f t="shared" si="1"/>
        <v/>
      </c>
      <c r="E61" s="27" t="str">
        <f t="shared" si="2"/>
        <v/>
      </c>
      <c r="F61" s="27" t="str">
        <f t="shared" si="3"/>
        <v/>
      </c>
      <c r="G61"/>
    </row>
    <row r="62" spans="1:7" s="1" customFormat="1" x14ac:dyDescent="0.25">
      <c r="A62" s="26" t="str">
        <f t="shared" si="4"/>
        <v/>
      </c>
      <c r="B62" s="77" t="str">
        <f t="shared" si="5"/>
        <v/>
      </c>
      <c r="C62" s="27" t="str">
        <f t="shared" si="6"/>
        <v/>
      </c>
      <c r="D62" s="27" t="str">
        <f t="shared" si="1"/>
        <v/>
      </c>
      <c r="E62" s="27" t="str">
        <f t="shared" si="2"/>
        <v/>
      </c>
      <c r="F62" s="27" t="str">
        <f t="shared" si="3"/>
        <v/>
      </c>
      <c r="G62"/>
    </row>
    <row r="63" spans="1:7" s="1" customFormat="1" x14ac:dyDescent="0.25">
      <c r="A63" s="26" t="str">
        <f t="shared" si="4"/>
        <v/>
      </c>
      <c r="B63" s="77" t="str">
        <f t="shared" si="5"/>
        <v/>
      </c>
      <c r="C63" s="27" t="str">
        <f t="shared" si="6"/>
        <v/>
      </c>
      <c r="D63" s="27" t="str">
        <f t="shared" si="1"/>
        <v/>
      </c>
      <c r="E63" s="27" t="str">
        <f t="shared" si="2"/>
        <v/>
      </c>
      <c r="F63" s="27" t="str">
        <f t="shared" si="3"/>
        <v/>
      </c>
      <c r="G63"/>
    </row>
    <row r="64" spans="1:7" s="1" customFormat="1" x14ac:dyDescent="0.25">
      <c r="A64" s="26" t="str">
        <f t="shared" si="4"/>
        <v/>
      </c>
      <c r="B64" s="77" t="str">
        <f t="shared" si="5"/>
        <v/>
      </c>
      <c r="C64" s="27" t="str">
        <f t="shared" si="6"/>
        <v/>
      </c>
      <c r="D64" s="27" t="str">
        <f t="shared" si="1"/>
        <v/>
      </c>
      <c r="E64" s="27" t="str">
        <f t="shared" si="2"/>
        <v/>
      </c>
      <c r="F64" s="27" t="str">
        <f t="shared" si="3"/>
        <v/>
      </c>
      <c r="G64"/>
    </row>
    <row r="65" spans="1:6" x14ac:dyDescent="0.25">
      <c r="A65" s="26" t="str">
        <f t="shared" si="4"/>
        <v/>
      </c>
      <c r="B65" s="77" t="str">
        <f t="shared" si="5"/>
        <v/>
      </c>
      <c r="C65" s="27" t="str">
        <f t="shared" si="6"/>
        <v/>
      </c>
      <c r="D65" s="27" t="str">
        <f t="shared" si="1"/>
        <v/>
      </c>
      <c r="E65" s="27" t="str">
        <f t="shared" si="2"/>
        <v/>
      </c>
      <c r="F65" s="27" t="str">
        <f t="shared" si="3"/>
        <v/>
      </c>
    </row>
    <row r="66" spans="1:6" x14ac:dyDescent="0.25">
      <c r="A66" s="26" t="str">
        <f t="shared" si="4"/>
        <v/>
      </c>
      <c r="B66" s="77" t="str">
        <f t="shared" si="5"/>
        <v/>
      </c>
      <c r="C66" s="27" t="str">
        <f t="shared" si="6"/>
        <v/>
      </c>
      <c r="D66" s="27" t="str">
        <f t="shared" si="1"/>
        <v/>
      </c>
      <c r="E66" s="27" t="str">
        <f t="shared" si="2"/>
        <v/>
      </c>
      <c r="F66" s="27" t="str">
        <f t="shared" si="3"/>
        <v/>
      </c>
    </row>
    <row r="67" spans="1:6" x14ac:dyDescent="0.25">
      <c r="A67" s="26" t="str">
        <f t="shared" si="4"/>
        <v/>
      </c>
      <c r="B67" s="77" t="str">
        <f t="shared" si="5"/>
        <v/>
      </c>
      <c r="C67" s="27" t="str">
        <f t="shared" si="6"/>
        <v/>
      </c>
      <c r="D67" s="27" t="str">
        <f t="shared" si="1"/>
        <v/>
      </c>
      <c r="E67" s="27" t="str">
        <f t="shared" si="2"/>
        <v/>
      </c>
      <c r="F67" s="27" t="str">
        <f t="shared" si="3"/>
        <v/>
      </c>
    </row>
    <row r="68" spans="1:6" x14ac:dyDescent="0.25">
      <c r="A68" s="26" t="str">
        <f t="shared" si="4"/>
        <v/>
      </c>
      <c r="B68" s="77" t="str">
        <f t="shared" si="5"/>
        <v/>
      </c>
      <c r="C68" s="27" t="str">
        <f t="shared" si="6"/>
        <v/>
      </c>
      <c r="D68" s="27" t="str">
        <f t="shared" si="1"/>
        <v/>
      </c>
      <c r="E68" s="27" t="str">
        <f t="shared" si="2"/>
        <v/>
      </c>
      <c r="F68" s="27" t="str">
        <f t="shared" si="3"/>
        <v/>
      </c>
    </row>
    <row r="69" spans="1:6" x14ac:dyDescent="0.25">
      <c r="A69" s="26" t="str">
        <f t="shared" si="4"/>
        <v/>
      </c>
      <c r="B69" s="77" t="str">
        <f t="shared" si="5"/>
        <v/>
      </c>
      <c r="C69" s="27" t="str">
        <f t="shared" si="6"/>
        <v/>
      </c>
      <c r="D69" s="27" t="str">
        <f t="shared" si="1"/>
        <v/>
      </c>
      <c r="E69" s="27" t="str">
        <f t="shared" si="2"/>
        <v/>
      </c>
      <c r="F69" s="27" t="str">
        <f t="shared" si="3"/>
        <v/>
      </c>
    </row>
    <row r="70" spans="1:6" x14ac:dyDescent="0.25">
      <c r="A70" s="26" t="str">
        <f t="shared" si="4"/>
        <v/>
      </c>
      <c r="B70" s="77" t="str">
        <f t="shared" si="5"/>
        <v/>
      </c>
      <c r="C70" s="27" t="str">
        <f t="shared" si="6"/>
        <v/>
      </c>
      <c r="D70" s="27" t="str">
        <f t="shared" si="1"/>
        <v/>
      </c>
      <c r="E70" s="27" t="str">
        <f t="shared" si="2"/>
        <v/>
      </c>
      <c r="F70" s="27" t="str">
        <f t="shared" si="3"/>
        <v/>
      </c>
    </row>
  </sheetData>
  <protectedRanges>
    <protectedRange sqref="B7" name="Range1_1"/>
    <protectedRange sqref="B11" name="Range1_1_1_3_1_1_1"/>
    <protectedRange sqref="B12:B70" name="Range1_1_1_4_1_1"/>
    <protectedRange sqref="B6" name="Range1_4"/>
  </protectedRanges>
  <mergeCells count="2">
    <mergeCell ref="A1:F1"/>
    <mergeCell ref="A2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PT1- EMI</vt:lpstr>
      <vt:lpstr>PT2- Goc deu-Lai giam dan</vt:lpstr>
      <vt:lpstr>PT3 -Goc deu-Lai tren goc</vt:lpstr>
      <vt:lpstr>PT4-EMI- lai thuc te</vt:lpstr>
      <vt:lpstr>Lai thay doi - PT1</vt:lpstr>
      <vt:lpstr>Lai thay doi - PT2</vt:lpstr>
      <vt:lpstr>Lai thay doi - PT3</vt:lpstr>
    </vt:vector>
  </TitlesOfParts>
  <Company>MDB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vui.tk</dc:creator>
  <cp:lastModifiedBy>Windows User</cp:lastModifiedBy>
  <cp:lastPrinted>2016-05-19T10:06:55Z</cp:lastPrinted>
  <dcterms:created xsi:type="dcterms:W3CDTF">2012-10-15T05:23:16Z</dcterms:created>
  <dcterms:modified xsi:type="dcterms:W3CDTF">2016-07-26T01:41:04Z</dcterms:modified>
</cp:coreProperties>
</file>